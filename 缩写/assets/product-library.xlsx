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采购成本" sheetId="2" r:id="rId1"/>
    <sheet name="基础" sheetId="18" r:id="rId2"/>
    <sheet name="Sheet1 (2)" sheetId="1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<sst xmlns="http://schemas.openxmlformats.org/spreadsheetml/2006/main" count="620" uniqueCount="247">
  <si>
    <t>LP Peptide Catalog</t>
  </si>
  <si>
    <t>Abb eviatio</t>
  </si>
  <si>
    <t>Product Name</t>
  </si>
  <si>
    <t>Specificatio</t>
  </si>
  <si>
    <t>Price
($/box)</t>
  </si>
  <si>
    <t>采购</t>
  </si>
  <si>
    <t>利润</t>
  </si>
  <si>
    <t>毛利占比</t>
  </si>
  <si>
    <t>RT5</t>
  </si>
  <si>
    <t>Retatrutide</t>
  </si>
  <si>
    <t>5mg*10vials</t>
  </si>
  <si>
    <t>RT10</t>
  </si>
  <si>
    <t>10mg*10vials</t>
  </si>
  <si>
    <t>RT15</t>
  </si>
  <si>
    <t>15mg*10vials</t>
  </si>
  <si>
    <t>RT20</t>
  </si>
  <si>
    <t>20mg*10vials</t>
  </si>
  <si>
    <t>RT30</t>
  </si>
  <si>
    <t>30mg*10vials</t>
  </si>
  <si>
    <t>RT40</t>
  </si>
  <si>
    <t>40mg*10vials</t>
  </si>
  <si>
    <t>RT60</t>
  </si>
  <si>
    <t>60mg*10vials</t>
  </si>
  <si>
    <t>TR5</t>
  </si>
  <si>
    <t>Tirzepatide</t>
  </si>
  <si>
    <t>TR10</t>
  </si>
  <si>
    <t>TR15</t>
  </si>
  <si>
    <t>TR20</t>
  </si>
  <si>
    <t>TR30</t>
  </si>
  <si>
    <t>TR40</t>
  </si>
  <si>
    <t>TR60</t>
  </si>
  <si>
    <t>TR100</t>
  </si>
  <si>
    <t>100mg*10vials</t>
  </si>
  <si>
    <t>2S10</t>
  </si>
  <si>
    <t>SS-31</t>
  </si>
  <si>
    <t>2S50</t>
  </si>
  <si>
    <t>50mg*10vials</t>
  </si>
  <si>
    <t>5AD</t>
  </si>
  <si>
    <t>AOD 9064</t>
  </si>
  <si>
    <t>10AD</t>
  </si>
  <si>
    <t>BC5</t>
  </si>
  <si>
    <t>BPC 157</t>
  </si>
  <si>
    <t>BC10</t>
  </si>
  <si>
    <t>BB10</t>
  </si>
  <si>
    <t>BPC5mg+TB5mg</t>
  </si>
  <si>
    <t>BB20</t>
  </si>
  <si>
    <t>BPC10mg+TB10mg</t>
  </si>
  <si>
    <t>20mg *10vials</t>
  </si>
  <si>
    <t>BT5</t>
  </si>
  <si>
    <t>TB500(Thymosin B4 AceTate)</t>
  </si>
  <si>
    <t>BT10</t>
  </si>
  <si>
    <t>BBG70</t>
  </si>
  <si>
    <t>TB10mg+BPC10mg+GHK50mg</t>
  </si>
  <si>
    <t>70mg*10vials</t>
  </si>
  <si>
    <t>BBKG80</t>
  </si>
  <si>
    <t>TB10mg+BPC10mg+KPV10mg+GHK50mg</t>
  </si>
  <si>
    <t>80mg*10vials</t>
  </si>
  <si>
    <t>CP10</t>
  </si>
  <si>
    <t>CJC-1295 Without DAC 5mg+IPA 5mg</t>
  </si>
  <si>
    <t>CU50</t>
  </si>
  <si>
    <t>GHK-CU</t>
  </si>
  <si>
    <t>CU100</t>
  </si>
  <si>
    <t>CD5</t>
  </si>
  <si>
    <t>CJC-1295 With DAC</t>
  </si>
  <si>
    <t>CGL5</t>
  </si>
  <si>
    <t>Cagrilintide</t>
  </si>
  <si>
    <t>CGL10</t>
  </si>
  <si>
    <t>DS5</t>
  </si>
  <si>
    <t>DSIP</t>
  </si>
  <si>
    <t>DS10</t>
  </si>
  <si>
    <t>ET10</t>
  </si>
  <si>
    <t>Epithalon</t>
  </si>
  <si>
    <t>ET50</t>
  </si>
  <si>
    <t>GTT</t>
  </si>
  <si>
    <t>Glutathione</t>
  </si>
  <si>
    <t>1500mg*10vials</t>
  </si>
  <si>
    <t>G10</t>
  </si>
  <si>
    <t>HGH 191AA</t>
  </si>
  <si>
    <t>10iu*10vials</t>
  </si>
  <si>
    <t>G24</t>
  </si>
  <si>
    <t>24iu*10vials</t>
  </si>
  <si>
    <t>G36</t>
  </si>
  <si>
    <t>36iu*10vials</t>
  </si>
  <si>
    <t>HC5000</t>
  </si>
  <si>
    <t>HCG</t>
  </si>
  <si>
    <t>5000iu*10vials</t>
  </si>
  <si>
    <t>IP5</t>
  </si>
  <si>
    <t>Ipamorelin</t>
  </si>
  <si>
    <t>IP10</t>
  </si>
  <si>
    <t>IG01</t>
  </si>
  <si>
    <t>IGF-1LR3</t>
  </si>
  <si>
    <t>0.1mg*10vials</t>
  </si>
  <si>
    <t>IG1</t>
  </si>
  <si>
    <t>1mg*10vials</t>
  </si>
  <si>
    <t>KS10</t>
  </si>
  <si>
    <t>KissPeptin-10</t>
  </si>
  <si>
    <t>MT1</t>
  </si>
  <si>
    <t>Melanotan I</t>
  </si>
  <si>
    <t>ML10</t>
  </si>
  <si>
    <t>MT-2(Melanotan 2 Acetate)</t>
  </si>
  <si>
    <t>MS10</t>
  </si>
  <si>
    <t>MOTS-C</t>
  </si>
  <si>
    <t>MS15</t>
  </si>
  <si>
    <t>MS20</t>
  </si>
  <si>
    <t>MS40</t>
  </si>
  <si>
    <t>NJ100</t>
  </si>
  <si>
    <t>NAD+</t>
  </si>
  <si>
    <t>NJ500</t>
  </si>
  <si>
    <t>500mg*10vials</t>
  </si>
  <si>
    <t>NJ1000</t>
  </si>
  <si>
    <t>1000mg*10vials</t>
  </si>
  <si>
    <t>NP810</t>
  </si>
  <si>
    <t>SNAP-8</t>
  </si>
  <si>
    <t>P41</t>
  </si>
  <si>
    <t>PT-141</t>
  </si>
  <si>
    <t>SK10</t>
  </si>
  <si>
    <t>Selank</t>
  </si>
  <si>
    <t>SMO-5</t>
  </si>
  <si>
    <t>Sermorelin Acetate</t>
  </si>
  <si>
    <t>SMO-10</t>
  </si>
  <si>
    <t>TA5</t>
  </si>
  <si>
    <t>Thymosin Alpha-1</t>
  </si>
  <si>
    <t>TA10</t>
  </si>
  <si>
    <t>TSM5</t>
  </si>
  <si>
    <t>Tesamorelin</t>
  </si>
  <si>
    <t>TSM10</t>
  </si>
  <si>
    <t>XA5</t>
  </si>
  <si>
    <t>SEMAX</t>
  </si>
  <si>
    <t>XA10</t>
  </si>
  <si>
    <t>BA3</t>
  </si>
  <si>
    <t>BAC WATER</t>
  </si>
  <si>
    <t>3ml*10vials</t>
  </si>
  <si>
    <t>BA10</t>
  </si>
  <si>
    <t>10ml*10vials</t>
  </si>
  <si>
    <t>PRICE  LIST</t>
  </si>
  <si>
    <t>products</t>
  </si>
  <si>
    <t>specification</t>
  </si>
  <si>
    <t>pirce CNY</t>
  </si>
  <si>
    <t>ADMAX</t>
  </si>
  <si>
    <t>Adipotide/FTTP</t>
  </si>
  <si>
    <t>2mg*10vials</t>
  </si>
  <si>
    <t>Aicar</t>
  </si>
  <si>
    <t>ARA290 (Cibinetide)</t>
  </si>
  <si>
    <t>16mg*10vials</t>
  </si>
  <si>
    <t>AOD9604</t>
  </si>
  <si>
    <t>ACE 031</t>
  </si>
  <si>
    <t>AHK-CU</t>
  </si>
  <si>
    <t>B12</t>
  </si>
  <si>
    <t>1mg/ml</t>
  </si>
  <si>
    <t>B7-33</t>
  </si>
  <si>
    <t>BPC 5mg+TB5mg</t>
  </si>
  <si>
    <t>BPC 10mg+TB10mg</t>
  </si>
  <si>
    <t>BPC 15mg+TB15mg</t>
  </si>
  <si>
    <t>bronchogen</t>
  </si>
  <si>
    <t>Botulinum toxin</t>
  </si>
  <si>
    <t>100iu*10vials</t>
  </si>
  <si>
    <t>bac.water</t>
  </si>
  <si>
    <t>3ml *10vials</t>
  </si>
  <si>
    <t>Cagrisema (2.5mg+2.5mg)</t>
  </si>
  <si>
    <t>Cagrisema (5mg+5mg)</t>
  </si>
  <si>
    <t>Cagrisema (10mg+10mg)</t>
  </si>
  <si>
    <t>CJC1295 with DAC</t>
  </si>
  <si>
    <t>CJC 1295(without DAC)</t>
  </si>
  <si>
    <t>CJC 1295(without DAC)5mg+IPA 5mg</t>
  </si>
  <si>
    <t>Cardiogen</t>
  </si>
  <si>
    <t>Cartalax</t>
  </si>
  <si>
    <t>cerebrolysin</t>
  </si>
  <si>
    <t>Cortagen</t>
  </si>
  <si>
    <t>Crystagen</t>
  </si>
  <si>
    <t>Dermorphin</t>
  </si>
  <si>
    <t>Dulaglutide</t>
  </si>
  <si>
    <t>EPO</t>
  </si>
  <si>
    <t>3000iu *10vials</t>
  </si>
  <si>
    <t>FOX04-DRI</t>
  </si>
  <si>
    <t>GHK-Cu</t>
  </si>
  <si>
    <t>600mg*10vials</t>
  </si>
  <si>
    <t>400mg*10vials</t>
  </si>
  <si>
    <t>GHRP-2</t>
  </si>
  <si>
    <t>GHRP-6</t>
  </si>
  <si>
    <t>Gonadorelin Acetate</t>
  </si>
  <si>
    <t>1000iu*10vials</t>
  </si>
  <si>
    <t>2000iu*10vials</t>
  </si>
  <si>
    <t>10000iu*10vials</t>
  </si>
  <si>
    <t>HMG</t>
  </si>
  <si>
    <t>75iu*10vials</t>
  </si>
  <si>
    <t>HGH</t>
  </si>
  <si>
    <t>6iu*10vials</t>
  </si>
  <si>
    <t>8iu*10vials</t>
  </si>
  <si>
    <t>12iu*10vials</t>
  </si>
  <si>
    <t>15iu*10vials</t>
  </si>
  <si>
    <t>40iu*10vials</t>
  </si>
  <si>
    <t>HGH Fragment 176-191</t>
  </si>
  <si>
    <t>12mg*10vials</t>
  </si>
  <si>
    <t>Hexarelin Acetate</t>
  </si>
  <si>
    <t>Humanin</t>
  </si>
  <si>
    <t>Kisspetin-10</t>
  </si>
  <si>
    <t>Liraglutide</t>
  </si>
  <si>
    <t>LL37</t>
  </si>
  <si>
    <t>MelanotanI</t>
  </si>
  <si>
    <t>Melanotan Il</t>
  </si>
  <si>
    <t>Melatonin</t>
  </si>
  <si>
    <t>MGF</t>
  </si>
  <si>
    <t>MOTS-c (Human)</t>
  </si>
  <si>
    <t>Nad+</t>
  </si>
  <si>
    <t>Oxytocin Acetate</t>
  </si>
  <si>
    <t>PEG MGF</t>
  </si>
  <si>
    <t>PE-22-28</t>
  </si>
  <si>
    <t>PNC-27</t>
  </si>
  <si>
    <t>PT141</t>
  </si>
  <si>
    <t>Semaglutide</t>
  </si>
  <si>
    <t>Snap8</t>
  </si>
  <si>
    <t>KPV</t>
  </si>
  <si>
    <t>Semax</t>
  </si>
  <si>
    <t>SS·31</t>
  </si>
  <si>
    <t>TB500</t>
  </si>
  <si>
    <t>TB Frag</t>
  </si>
  <si>
    <t>Tesa10+ip5</t>
  </si>
  <si>
    <t>Thymalin/Thymulin</t>
  </si>
  <si>
    <t>Thymosin alpha 1</t>
  </si>
  <si>
    <t>IGF-1 LR3</t>
  </si>
  <si>
    <t>100mcg*10vials</t>
  </si>
  <si>
    <t>Lipo-c</t>
  </si>
  <si>
    <t>MIC(lipo C with B12)</t>
  </si>
  <si>
    <t>VIP</t>
  </si>
  <si>
    <t>Vesugen</t>
  </si>
  <si>
    <t>Mazdutide</t>
  </si>
  <si>
    <t>GLOW(BPC 157 10mg+GHK-CU50mg+TB500 10mg)</t>
  </si>
  <si>
    <t>Matrixyl</t>
  </si>
  <si>
    <t>P21 (P021)</t>
  </si>
  <si>
    <t>Pinealon</t>
  </si>
  <si>
    <t>5-AMINO-1MQ</t>
  </si>
  <si>
    <t>Survodutide</t>
  </si>
  <si>
    <t>L-carnitine</t>
  </si>
  <si>
    <t>1200mg*10vials</t>
  </si>
  <si>
    <t>Retatrutide 20mg + Trizepatide 40mg (10ml)</t>
  </si>
  <si>
    <t>ACETIC ACID</t>
  </si>
  <si>
    <t>5ml*10vials</t>
  </si>
  <si>
    <t>10盒以下</t>
  </si>
  <si>
    <t>10-20盒</t>
  </si>
  <si>
    <t>21-30盒</t>
  </si>
  <si>
    <t>31-40盒</t>
  </si>
  <si>
    <t>41-50盒</t>
  </si>
  <si>
    <t>51-60盒</t>
  </si>
  <si>
    <t>61-70盒</t>
  </si>
  <si>
    <t>71-80盒</t>
  </si>
  <si>
    <t>81-90盒</t>
  </si>
  <si>
    <t>91-100盒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</si>
</sst>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$#,##0;\-\$#,##0"/>
    <numFmt numFmtId="178" formatCode="&quot;￥&quot;#,##0.0_);[Red]\(&quot;￥&quot;#,##0.0\)"/>
    <numFmt numFmtId="179" formatCode="0.00_ "/>
    <numFmt numFmtId="180" formatCode="\$#,##0.00;\-\$#,##0.00"/>
  </numFmts>
  <fonts count="41">
    <font>
      <sz val="11"/>
      <color rgb="FF000000"/>
      <name val="Arial"/>
      <charset val="204"/>
    </font>
    <font>
      <sz val="11"/>
      <color rgb="FF000000"/>
      <name val="Arial"/>
      <charset val="0"/>
    </font>
    <font>
      <sz val="11"/>
      <color rgb="FF000000"/>
      <name val="宋体"/>
      <charset val="0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4"/>
      <color rgb="FF000000"/>
      <name val="Apple Braille Outline 6 Dot"/>
      <charset val="204"/>
    </font>
    <font>
      <b/>
      <sz val="28"/>
      <color rgb="FFFFFFFF"/>
      <name val="Arial Black"/>
      <charset val="134"/>
    </font>
    <font>
      <b/>
      <sz val="14"/>
      <color rgb="FFFFFFFF"/>
      <name val="Apple Braille Outline 6 Dot"/>
      <charset val="134"/>
    </font>
    <font>
      <b/>
      <sz val="14"/>
      <color rgb="FFFFFFFF"/>
      <name val="宋体"/>
      <charset val="134"/>
    </font>
    <font>
      <sz val="14"/>
      <name val="Apple Braille Outline 6 Dot"/>
      <charset val="134"/>
    </font>
    <font>
      <b/>
      <sz val="14"/>
      <name val="Apple Braille Outline 6 Dot"/>
      <charset val="134"/>
    </font>
    <font>
      <b/>
      <sz val="14"/>
      <color rgb="FF000000"/>
      <name val="Apple Braille Outline 6 Dot"/>
      <charset val="204"/>
    </font>
    <font>
      <sz val="14"/>
      <color theme="1"/>
      <name val="Apple Braille Outline 6 Dot"/>
      <charset val="134"/>
    </font>
    <font>
      <b/>
      <sz val="14"/>
      <name val="Arial Black"/>
      <charset val="134"/>
    </font>
    <font>
      <b/>
      <sz val="14"/>
      <color rgb="FF000000"/>
      <name val="Apple Braille Outline 6 Dot"/>
      <charset val="134"/>
    </font>
    <font>
      <sz val="14"/>
      <name val="Arial Black"/>
      <charset val="134"/>
    </font>
    <font>
      <b/>
      <sz val="16"/>
      <color theme="1"/>
      <name val="Apple Braille Outline 6 Dot"/>
      <charset val="134"/>
    </font>
    <font>
      <b/>
      <sz val="14"/>
      <color theme="1"/>
      <name val="Arial Black"/>
      <charset val="134"/>
    </font>
    <font>
      <sz val="14"/>
      <color theme="1"/>
      <name val="Arial Black"/>
      <charset val="134"/>
    </font>
    <font>
      <sz val="14"/>
      <color rgb="FF000000"/>
      <name val="Arial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3" fillId="9" borderId="9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10">
      <alignment vertical="center"/>
    </xf>
    <xf numFmtId="0" fontId="28" fillId="0" borderId="10">
      <alignment vertical="center"/>
    </xf>
    <xf numFmtId="0" fontId="29" fillId="0" borderId="11">
      <alignment vertical="center"/>
    </xf>
    <xf numFmtId="0" fontId="29" fillId="0" borderId="0">
      <alignment vertical="center"/>
    </xf>
    <xf numFmtId="0" fontId="30" fillId="10" borderId="12">
      <alignment vertical="center"/>
    </xf>
    <xf numFmtId="0" fontId="31" fillId="11" borderId="13">
      <alignment vertical="center"/>
    </xf>
    <xf numFmtId="0" fontId="32" fillId="11" borderId="12">
      <alignment vertical="center"/>
    </xf>
    <xf numFmtId="0" fontId="33" fillId="12" borderId="14">
      <alignment vertical="center"/>
    </xf>
    <xf numFmtId="0" fontId="34" fillId="0" borderId="15">
      <alignment vertical="center"/>
    </xf>
    <xf numFmtId="0" fontId="35" fillId="0" borderId="16">
      <alignment vertical="center"/>
    </xf>
    <xf numFmtId="0" fontId="36" fillId="13" borderId="0">
      <alignment vertical="center"/>
    </xf>
    <xf numFmtId="0" fontId="37" fillId="14" borderId="0">
      <alignment vertical="center"/>
    </xf>
    <xf numFmtId="0" fontId="38" fillId="15" borderId="0">
      <alignment vertical="center"/>
    </xf>
    <xf numFmtId="0" fontId="39" fillId="16" borderId="0">
      <alignment vertical="center"/>
    </xf>
    <xf numFmtId="0" fontId="40" fillId="17" borderId="0">
      <alignment vertical="center"/>
    </xf>
    <xf numFmtId="0" fontId="40" fillId="18" borderId="0">
      <alignment vertical="center"/>
    </xf>
    <xf numFmtId="0" fontId="39" fillId="19" borderId="0">
      <alignment vertical="center"/>
    </xf>
    <xf numFmtId="0" fontId="39" fillId="20" borderId="0">
      <alignment vertical="center"/>
    </xf>
    <xf numFmtId="0" fontId="40" fillId="21" borderId="0">
      <alignment vertical="center"/>
    </xf>
    <xf numFmtId="0" fontId="40" fillId="22" borderId="0">
      <alignment vertical="center"/>
    </xf>
    <xf numFmtId="0" fontId="39" fillId="23" borderId="0">
      <alignment vertical="center"/>
    </xf>
    <xf numFmtId="0" fontId="39" fillId="24" borderId="0">
      <alignment vertical="center"/>
    </xf>
    <xf numFmtId="0" fontId="40" fillId="25" borderId="0">
      <alignment vertical="center"/>
    </xf>
    <xf numFmtId="0" fontId="40" fillId="26" borderId="0">
      <alignment vertical="center"/>
    </xf>
    <xf numFmtId="0" fontId="39" fillId="27" borderId="0">
      <alignment vertical="center"/>
    </xf>
    <xf numFmtId="0" fontId="39" fillId="5" borderId="0">
      <alignment vertical="center"/>
    </xf>
    <xf numFmtId="0" fontId="40" fillId="28" borderId="0">
      <alignment vertical="center"/>
    </xf>
    <xf numFmtId="0" fontId="40" fillId="29" borderId="0">
      <alignment vertical="center"/>
    </xf>
    <xf numFmtId="0" fontId="39" fillId="30" borderId="0">
      <alignment vertical="center"/>
    </xf>
    <xf numFmtId="0" fontId="39" fillId="31" borderId="0">
      <alignment vertical="center"/>
    </xf>
    <xf numFmtId="0" fontId="40" fillId="32" borderId="0">
      <alignment vertical="center"/>
    </xf>
    <xf numFmtId="0" fontId="40" fillId="33" borderId="0">
      <alignment vertical="center"/>
    </xf>
    <xf numFmtId="0" fontId="39" fillId="34" borderId="0">
      <alignment vertical="center"/>
    </xf>
    <xf numFmtId="0" fontId="39" fillId="35" borderId="0">
      <alignment vertical="center"/>
    </xf>
    <xf numFmtId="0" fontId="40" fillId="36" borderId="0">
      <alignment vertical="center"/>
    </xf>
    <xf numFmtId="0" fontId="40" fillId="37" borderId="0">
      <alignment vertical="center"/>
    </xf>
    <xf numFmtId="0" fontId="39" fillId="38" borderId="0">
      <alignment vertical="center"/>
    </xf>
  </cellStyleXfs>
  <cellXfs count="62"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0" fillId="0" borderId="4" xfId="0" applyBorder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7" fillId="5" borderId="0" xfId="0" applyFont="1" applyFill="1" applyAlignment="1">
      <alignment horizontal="left" vertical="top" wrapText="1"/>
    </xf>
    <xf numFmtId="177" fontId="7" fillId="0" borderId="0" xfId="0" applyNumberFormat="1" applyFont="1" applyAlignment="1">
      <alignment horizontal="left" vertical="top" wrapText="1"/>
    </xf>
    <xf numFmtId="178" fontId="7" fillId="0" borderId="0" xfId="0" applyNumberFormat="1" applyFont="1" applyAlignment="1">
      <alignment horizontal="left" vertical="top" wrapText="1"/>
    </xf>
    <xf numFmtId="176" fontId="7" fillId="0" borderId="0" xfId="0" applyNumberFormat="1" applyFont="1" applyAlignment="1">
      <alignment horizontal="left" vertical="top" wrapText="1"/>
    </xf>
    <xf numFmtId="10" fontId="7" fillId="0" borderId="0" xfId="0" applyNumberFormat="1" applyFont="1" applyAlignment="1">
      <alignment horizontal="left" vertical="top" wrapText="1"/>
    </xf>
    <xf numFmtId="179" fontId="7" fillId="0" borderId="0" xfId="0" applyNumberFormat="1" applyFont="1" applyAlignment="1">
      <alignment horizontal="center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9" fillId="7" borderId="1" xfId="0" applyFont="1" applyFill="1" applyBorder="1" applyAlignment="1">
      <alignment horizontal="center" vertical="center" wrapText="1"/>
    </xf>
    <xf numFmtId="177" fontId="9" fillId="7" borderId="1" xfId="0" applyNumberFormat="1" applyFont="1" applyFill="1" applyBorder="1" applyAlignment="1">
      <alignment horizontal="center" vertical="center" wrapText="1"/>
    </xf>
    <xf numFmtId="178" fontId="10" fillId="7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80" fontId="13" fillId="0" borderId="1" xfId="0" applyNumberFormat="1" applyFont="1" applyBorder="1" applyAlignment="1">
      <alignment horizontal="center" vertical="center" wrapText="1"/>
    </xf>
    <xf numFmtId="178" fontId="11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/>
      <protection locked="0"/>
    </xf>
    <xf numFmtId="178" fontId="11" fillId="0" borderId="1" xfId="0" applyNumberFormat="1" applyFont="1" applyBorder="1" applyAlignment="1" applyProtection="1">
      <alignment horizontal="center" vertical="center"/>
      <protection locked="0"/>
    </xf>
    <xf numFmtId="0" fontId="16" fillId="0" borderId="7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7"/>
  <sheetViews>
    <sheetView zoomScale="70" zoomScaleNormal="70" workbookViewId="0">
      <pane ySplit="2" topLeftCell="A61" activePane="bottomLeft" state="frozen"/>
      <selection/>
      <selection pane="bottomLeft" activeCell="A1" sqref="A1:H71"/>
    </sheetView>
  </sheetViews>
  <sheetFormatPr defaultColWidth="67.15" defaultRowHeight="48" customHeight="1"/>
  <cols>
    <col min="1" max="1" width="37.5666666666667" style="26" customWidth="1"/>
    <col min="2" max="2" width="14.2166666666667" style="25" customWidth="1"/>
    <col min="3" max="3" width="58.0333333333333" style="25" customWidth="1"/>
    <col min="4" max="4" width="22.125" style="25" customWidth="1"/>
    <col min="5" max="5" width="13.3916666666667" style="27" customWidth="1"/>
    <col min="6" max="6" width="17.85" style="28" customWidth="1"/>
    <col min="7" max="7" width="10.5916666666667" style="29" customWidth="1"/>
    <col min="8" max="8" width="13.3916666666667" style="30" customWidth="1"/>
    <col min="9" max="9" width="12.675" style="31" customWidth="1"/>
    <col min="10" max="16384" width="67.15" style="25" customWidth="1"/>
  </cols>
  <sheetData>
    <row r="1" s="25" customFormat="1" customHeight="1" spans="1:9">
      <c r="A1" s="32"/>
      <c r="B1" s="33" t="s">
        <v>0</v>
      </c>
      <c r="C1" s="34"/>
      <c r="D1" s="34"/>
      <c r="E1" s="34"/>
      <c r="F1" s="34"/>
      <c r="G1" s="34"/>
      <c r="H1" s="35"/>
      <c r="I1" s="31"/>
    </row>
    <row r="2" s="25" customFormat="1" customHeight="1" spans="1:9">
      <c r="A2" s="32"/>
      <c r="B2" s="36" t="s">
        <v>1</v>
      </c>
      <c r="C2" s="36" t="s">
        <v>2</v>
      </c>
      <c r="D2" s="36" t="s">
        <v>3</v>
      </c>
      <c r="E2" s="37" t="s">
        <v>4</v>
      </c>
      <c r="F2" s="38" t="s">
        <v>5</v>
      </c>
      <c r="G2" s="36" t="s">
        <v>6</v>
      </c>
      <c r="H2" s="36" t="s">
        <v>7</v>
      </c>
      <c r="I2" s="31"/>
    </row>
    <row r="3" s="25" customFormat="1" customHeight="1" spans="1:9">
      <c r="A3" s="32" t="str">
        <f t="shared" ref="A3:A66" si="0">B3&amp;C3&amp;D3</f>
        <v>RT5Retatrutide5mg*10vials</v>
      </c>
      <c r="B3" s="39" t="s">
        <v>8</v>
      </c>
      <c r="C3" s="40" t="s">
        <v>9</v>
      </c>
      <c r="D3" s="41" t="s">
        <v>10</v>
      </c>
      <c r="E3" s="42">
        <v>55</v>
      </c>
      <c r="F3" s="43">
        <v>185</v>
      </c>
      <c r="G3" s="44">
        <f t="shared" ref="G3:G66" si="1">(E3*6.8)-F3</f>
        <v>189</v>
      </c>
      <c r="H3" s="45">
        <f t="shared" ref="H3:H66" si="2">G3/(E3*6.8)</f>
        <v>0.505347593582888</v>
      </c>
      <c r="I3" s="31"/>
    </row>
    <row r="4" s="25" customFormat="1" customHeight="1" spans="1:9">
      <c r="A4" s="32" t="str">
        <f t="shared" si="0"/>
        <v>RT10Retatrutide10mg*10vials</v>
      </c>
      <c r="B4" s="39" t="s">
        <v>11</v>
      </c>
      <c r="C4" s="40" t="s">
        <v>9</v>
      </c>
      <c r="D4" s="41" t="s">
        <v>12</v>
      </c>
      <c r="E4" s="42">
        <v>80</v>
      </c>
      <c r="F4" s="43">
        <v>260</v>
      </c>
      <c r="G4" s="44">
        <f t="shared" si="1"/>
        <v>284</v>
      </c>
      <c r="H4" s="45">
        <f t="shared" si="2"/>
        <v>0.522058823529412</v>
      </c>
      <c r="I4" s="31"/>
    </row>
    <row r="5" s="25" customFormat="1" customHeight="1" spans="1:9">
      <c r="A5" s="32" t="str">
        <f t="shared" si="0"/>
        <v>RT15Retatrutide15mg*10vials</v>
      </c>
      <c r="B5" s="46" t="s">
        <v>13</v>
      </c>
      <c r="C5" s="40" t="s">
        <v>9</v>
      </c>
      <c r="D5" s="41" t="s">
        <v>14</v>
      </c>
      <c r="E5" s="42">
        <v>119</v>
      </c>
      <c r="F5" s="47">
        <v>340</v>
      </c>
      <c r="G5" s="44">
        <f t="shared" si="1"/>
        <v>469.2</v>
      </c>
      <c r="H5" s="45">
        <f t="shared" si="2"/>
        <v>0.579831932773109</v>
      </c>
      <c r="I5" s="31"/>
    </row>
    <row r="6" s="25" customFormat="1" customHeight="1" spans="1:9">
      <c r="A6" s="32" t="str">
        <f t="shared" si="0"/>
        <v>RT20Retatrutide20mg*10vials</v>
      </c>
      <c r="B6" s="46" t="s">
        <v>15</v>
      </c>
      <c r="C6" s="40" t="s">
        <v>9</v>
      </c>
      <c r="D6" s="41" t="s">
        <v>16</v>
      </c>
      <c r="E6" s="42">
        <v>149</v>
      </c>
      <c r="F6" s="43">
        <v>400</v>
      </c>
      <c r="G6" s="44">
        <f t="shared" si="1"/>
        <v>613.2</v>
      </c>
      <c r="H6" s="45">
        <f t="shared" si="2"/>
        <v>0.605211212001579</v>
      </c>
      <c r="I6" s="31"/>
    </row>
    <row r="7" s="25" customFormat="1" customHeight="1" spans="1:9">
      <c r="A7" s="32" t="str">
        <f t="shared" si="0"/>
        <v>RT30Retatrutide30mg*10vials</v>
      </c>
      <c r="B7" s="46" t="s">
        <v>17</v>
      </c>
      <c r="C7" s="40" t="s">
        <v>9</v>
      </c>
      <c r="D7" s="41" t="s">
        <v>18</v>
      </c>
      <c r="E7" s="42">
        <v>199</v>
      </c>
      <c r="F7" s="43">
        <v>550</v>
      </c>
      <c r="G7" s="44">
        <f t="shared" si="1"/>
        <v>803.2</v>
      </c>
      <c r="H7" s="45">
        <f t="shared" si="2"/>
        <v>0.593556015370973</v>
      </c>
      <c r="I7" s="31"/>
    </row>
    <row r="8" s="25" customFormat="1" customHeight="1" spans="1:9">
      <c r="A8" s="32" t="str">
        <f t="shared" si="0"/>
        <v>RT40Retatrutide40mg*10vials</v>
      </c>
      <c r="B8" s="46" t="s">
        <v>19</v>
      </c>
      <c r="C8" s="40" t="s">
        <v>9</v>
      </c>
      <c r="D8" s="41" t="s">
        <v>20</v>
      </c>
      <c r="E8" s="42">
        <v>269</v>
      </c>
      <c r="F8" s="43">
        <v>700</v>
      </c>
      <c r="G8" s="44">
        <f t="shared" si="1"/>
        <v>1129.2</v>
      </c>
      <c r="H8" s="45">
        <f t="shared" si="2"/>
        <v>0.617319046577739</v>
      </c>
      <c r="I8" s="31"/>
    </row>
    <row r="9" s="25" customFormat="1" customHeight="1" spans="1:9">
      <c r="A9" s="32" t="str">
        <f t="shared" si="0"/>
        <v>RT60Retatrutide60mg*10vials</v>
      </c>
      <c r="B9" s="46" t="s">
        <v>21</v>
      </c>
      <c r="C9" s="40" t="s">
        <v>9</v>
      </c>
      <c r="D9" s="41" t="s">
        <v>22</v>
      </c>
      <c r="E9" s="42">
        <v>360</v>
      </c>
      <c r="F9" s="43">
        <v>950</v>
      </c>
      <c r="G9" s="44">
        <f t="shared" si="1"/>
        <v>1498</v>
      </c>
      <c r="H9" s="45">
        <f t="shared" si="2"/>
        <v>0.611928104575163</v>
      </c>
      <c r="I9" s="31"/>
    </row>
    <row r="10" s="25" customFormat="1" customHeight="1" spans="1:9">
      <c r="A10" s="32" t="str">
        <f t="shared" si="0"/>
        <v>TR5Tirzepatide5mg*10vials</v>
      </c>
      <c r="B10" s="39" t="s">
        <v>23</v>
      </c>
      <c r="C10" s="40" t="s">
        <v>24</v>
      </c>
      <c r="D10" s="41" t="s">
        <v>10</v>
      </c>
      <c r="E10" s="42">
        <v>40</v>
      </c>
      <c r="F10" s="43">
        <v>135</v>
      </c>
      <c r="G10" s="44">
        <f t="shared" si="1"/>
        <v>137</v>
      </c>
      <c r="H10" s="45">
        <f t="shared" si="2"/>
        <v>0.503676470588235</v>
      </c>
      <c r="I10" s="31"/>
    </row>
    <row r="11" s="25" customFormat="1" customHeight="1" spans="1:9">
      <c r="A11" s="32" t="str">
        <f t="shared" si="0"/>
        <v>TR10Tirzepatide10mg*10vials</v>
      </c>
      <c r="B11" s="39" t="s">
        <v>25</v>
      </c>
      <c r="C11" s="40" t="s">
        <v>24</v>
      </c>
      <c r="D11" s="41" t="s">
        <v>12</v>
      </c>
      <c r="E11" s="42">
        <v>58</v>
      </c>
      <c r="F11" s="43">
        <v>190</v>
      </c>
      <c r="G11" s="44">
        <f t="shared" si="1"/>
        <v>204.4</v>
      </c>
      <c r="H11" s="45">
        <f t="shared" si="2"/>
        <v>0.518255578093306</v>
      </c>
      <c r="I11" s="31"/>
    </row>
    <row r="12" s="25" customFormat="1" customHeight="1" spans="1:9">
      <c r="A12" s="32" t="str">
        <f t="shared" si="0"/>
        <v>TR15Tirzepatide15mg*10vials</v>
      </c>
      <c r="B12" s="39" t="s">
        <v>26</v>
      </c>
      <c r="C12" s="48" t="s">
        <v>24</v>
      </c>
      <c r="D12" s="41" t="s">
        <v>14</v>
      </c>
      <c r="E12" s="42">
        <v>72</v>
      </c>
      <c r="F12" s="43">
        <v>255</v>
      </c>
      <c r="G12" s="44">
        <f t="shared" si="1"/>
        <v>234.6</v>
      </c>
      <c r="H12" s="45">
        <f t="shared" si="2"/>
        <v>0.479166666666667</v>
      </c>
      <c r="I12" s="31"/>
    </row>
    <row r="13" s="25" customFormat="1" customHeight="1" spans="1:9">
      <c r="A13" s="32" t="str">
        <f t="shared" si="0"/>
        <v>TR20Tirzepatide20mg*10vials</v>
      </c>
      <c r="B13" s="46" t="s">
        <v>27</v>
      </c>
      <c r="C13" s="40" t="s">
        <v>24</v>
      </c>
      <c r="D13" s="41" t="s">
        <v>16</v>
      </c>
      <c r="E13" s="42">
        <v>88</v>
      </c>
      <c r="F13" s="47">
        <v>295</v>
      </c>
      <c r="G13" s="44">
        <f t="shared" si="1"/>
        <v>303.4</v>
      </c>
      <c r="H13" s="45">
        <f t="shared" si="2"/>
        <v>0.50701871657754</v>
      </c>
      <c r="I13" s="31"/>
    </row>
    <row r="14" s="25" customFormat="1" customHeight="1" spans="1:9">
      <c r="A14" s="32" t="str">
        <f t="shared" si="0"/>
        <v>TR30Tirzepatide30mg*10vials</v>
      </c>
      <c r="B14" s="39" t="s">
        <v>28</v>
      </c>
      <c r="C14" s="40" t="s">
        <v>24</v>
      </c>
      <c r="D14" s="41" t="s">
        <v>18</v>
      </c>
      <c r="E14" s="42">
        <v>98</v>
      </c>
      <c r="F14" s="43">
        <v>350</v>
      </c>
      <c r="G14" s="44">
        <f t="shared" si="1"/>
        <v>316.4</v>
      </c>
      <c r="H14" s="45">
        <f t="shared" si="2"/>
        <v>0.474789915966387</v>
      </c>
      <c r="I14" s="31"/>
    </row>
    <row r="15" s="25" customFormat="1" customHeight="1" spans="1:9">
      <c r="A15" s="32" t="str">
        <f t="shared" si="0"/>
        <v>TR40Tirzepatide40mg*10vials</v>
      </c>
      <c r="B15" s="39" t="s">
        <v>29</v>
      </c>
      <c r="C15" s="40" t="s">
        <v>24</v>
      </c>
      <c r="D15" s="41" t="s">
        <v>20</v>
      </c>
      <c r="E15" s="42">
        <v>125</v>
      </c>
      <c r="F15" s="43">
        <v>430</v>
      </c>
      <c r="G15" s="44">
        <f t="shared" si="1"/>
        <v>420</v>
      </c>
      <c r="H15" s="45">
        <f t="shared" si="2"/>
        <v>0.494117647058824</v>
      </c>
      <c r="I15" s="31"/>
    </row>
    <row r="16" s="25" customFormat="1" customHeight="1" spans="1:9">
      <c r="A16" s="32" t="str">
        <f t="shared" si="0"/>
        <v>TR60Tirzepatide60mg*10vials</v>
      </c>
      <c r="B16" s="46" t="s">
        <v>30</v>
      </c>
      <c r="C16" s="40" t="s">
        <v>24</v>
      </c>
      <c r="D16" s="41" t="s">
        <v>22</v>
      </c>
      <c r="E16" s="42">
        <v>189</v>
      </c>
      <c r="F16" s="47">
        <v>675</v>
      </c>
      <c r="G16" s="44">
        <f t="shared" si="1"/>
        <v>610.2</v>
      </c>
      <c r="H16" s="45">
        <f t="shared" si="2"/>
        <v>0.474789915966387</v>
      </c>
      <c r="I16" s="31"/>
    </row>
    <row r="17" s="25" customFormat="1" customHeight="1" spans="1:9">
      <c r="A17" s="32" t="str">
        <f t="shared" si="0"/>
        <v>TR100Tirzepatide100mg*10vials</v>
      </c>
      <c r="B17" s="46" t="s">
        <v>31</v>
      </c>
      <c r="C17" s="40" t="s">
        <v>24</v>
      </c>
      <c r="D17" s="41" t="s">
        <v>32</v>
      </c>
      <c r="E17" s="42">
        <v>299</v>
      </c>
      <c r="F17" s="47">
        <v>1200</v>
      </c>
      <c r="G17" s="44">
        <f t="shared" si="1"/>
        <v>833.2</v>
      </c>
      <c r="H17" s="45">
        <f t="shared" si="2"/>
        <v>0.409797363761558</v>
      </c>
      <c r="I17" s="31"/>
    </row>
    <row r="18" s="25" customFormat="1" customHeight="1" spans="1:9">
      <c r="A18" s="32" t="str">
        <f t="shared" si="0"/>
        <v>2S10SS-3110mg*10vials</v>
      </c>
      <c r="B18" s="39" t="s">
        <v>33</v>
      </c>
      <c r="C18" s="40" t="s">
        <v>34</v>
      </c>
      <c r="D18" s="41" t="s">
        <v>12</v>
      </c>
      <c r="E18" s="42">
        <v>82</v>
      </c>
      <c r="F18" s="49">
        <v>320</v>
      </c>
      <c r="G18" s="44">
        <f t="shared" si="1"/>
        <v>237.6</v>
      </c>
      <c r="H18" s="45">
        <f t="shared" si="2"/>
        <v>0.426111908177905</v>
      </c>
      <c r="I18" s="31"/>
    </row>
    <row r="19" s="25" customFormat="1" customHeight="1" spans="1:9">
      <c r="A19" s="32" t="str">
        <f t="shared" si="0"/>
        <v>2S50SS-3150mg*10vials</v>
      </c>
      <c r="B19" s="39" t="s">
        <v>35</v>
      </c>
      <c r="C19" s="40" t="s">
        <v>34</v>
      </c>
      <c r="D19" s="41" t="s">
        <v>36</v>
      </c>
      <c r="E19" s="42">
        <v>380</v>
      </c>
      <c r="F19" s="49">
        <v>1100</v>
      </c>
      <c r="G19" s="44">
        <f t="shared" si="1"/>
        <v>1484</v>
      </c>
      <c r="H19" s="45">
        <f t="shared" si="2"/>
        <v>0.574303405572755</v>
      </c>
      <c r="I19" s="31"/>
    </row>
    <row r="20" s="25" customFormat="1" customHeight="1" spans="1:9">
      <c r="A20" s="32" t="str">
        <f t="shared" si="0"/>
        <v>5ADAOD 90645mg*10vials</v>
      </c>
      <c r="B20" s="46" t="s">
        <v>37</v>
      </c>
      <c r="C20" s="40" t="s">
        <v>38</v>
      </c>
      <c r="D20" s="41" t="s">
        <v>10</v>
      </c>
      <c r="E20" s="42">
        <v>84</v>
      </c>
      <c r="F20" s="49">
        <v>300</v>
      </c>
      <c r="G20" s="44">
        <f t="shared" si="1"/>
        <v>271.2</v>
      </c>
      <c r="H20" s="45">
        <f t="shared" si="2"/>
        <v>0.474789915966386</v>
      </c>
      <c r="I20" s="31"/>
    </row>
    <row r="21" s="25" customFormat="1" customHeight="1" spans="1:9">
      <c r="A21" s="32" t="str">
        <f t="shared" si="0"/>
        <v>10ADAOD 906410mg*10vials</v>
      </c>
      <c r="B21" s="46" t="s">
        <v>39</v>
      </c>
      <c r="C21" s="40" t="s">
        <v>38</v>
      </c>
      <c r="D21" s="41" t="s">
        <v>12</v>
      </c>
      <c r="E21" s="42">
        <v>130</v>
      </c>
      <c r="F21" s="49">
        <v>400</v>
      </c>
      <c r="G21" s="44">
        <f t="shared" si="1"/>
        <v>484</v>
      </c>
      <c r="H21" s="45">
        <f t="shared" si="2"/>
        <v>0.547511312217195</v>
      </c>
      <c r="I21" s="31"/>
    </row>
    <row r="22" s="25" customFormat="1" customHeight="1" spans="1:9">
      <c r="A22" s="32" t="str">
        <f t="shared" si="0"/>
        <v>BC5BPC 1575mg*10vials</v>
      </c>
      <c r="B22" s="50" t="s">
        <v>40</v>
      </c>
      <c r="C22" s="50" t="s">
        <v>41</v>
      </c>
      <c r="D22" s="51" t="s">
        <v>10</v>
      </c>
      <c r="E22" s="42">
        <v>50</v>
      </c>
      <c r="F22" s="49">
        <v>160</v>
      </c>
      <c r="G22" s="44">
        <f t="shared" si="1"/>
        <v>180</v>
      </c>
      <c r="H22" s="45">
        <f t="shared" si="2"/>
        <v>0.529411764705882</v>
      </c>
      <c r="I22" s="31"/>
    </row>
    <row r="23" s="25" customFormat="1" customHeight="1" spans="1:9">
      <c r="A23" s="32" t="str">
        <f t="shared" si="0"/>
        <v>BC10BPC 15710mg*10vials</v>
      </c>
      <c r="B23" s="50" t="s">
        <v>42</v>
      </c>
      <c r="C23" s="50" t="s">
        <v>41</v>
      </c>
      <c r="D23" s="41" t="s">
        <v>12</v>
      </c>
      <c r="E23" s="42">
        <v>64</v>
      </c>
      <c r="F23" s="49">
        <v>210</v>
      </c>
      <c r="G23" s="44">
        <f t="shared" si="1"/>
        <v>225.2</v>
      </c>
      <c r="H23" s="45">
        <f t="shared" si="2"/>
        <v>0.517463235294118</v>
      </c>
      <c r="I23" s="31"/>
    </row>
    <row r="24" s="25" customFormat="1" customHeight="1" spans="1:9">
      <c r="A24" s="32" t="str">
        <f t="shared" si="0"/>
        <v>BB10BPC5mg+TB5mg10mg*10vials</v>
      </c>
      <c r="B24" s="50" t="s">
        <v>43</v>
      </c>
      <c r="C24" s="48" t="s">
        <v>44</v>
      </c>
      <c r="D24" s="41" t="s">
        <v>12</v>
      </c>
      <c r="E24" s="42">
        <v>89</v>
      </c>
      <c r="F24" s="49">
        <v>300</v>
      </c>
      <c r="G24" s="44">
        <f t="shared" si="1"/>
        <v>305.2</v>
      </c>
      <c r="H24" s="45">
        <f t="shared" si="2"/>
        <v>0.504296100462657</v>
      </c>
      <c r="I24" s="31"/>
    </row>
    <row r="25" s="25" customFormat="1" customHeight="1" spans="1:9">
      <c r="A25" s="32" t="str">
        <f t="shared" si="0"/>
        <v>BB20BPC10mg+TB10mg20mg *10vials</v>
      </c>
      <c r="B25" s="50" t="s">
        <v>45</v>
      </c>
      <c r="C25" s="40" t="s">
        <v>46</v>
      </c>
      <c r="D25" s="41" t="s">
        <v>47</v>
      </c>
      <c r="E25" s="42">
        <v>165</v>
      </c>
      <c r="F25" s="49">
        <v>550</v>
      </c>
      <c r="G25" s="44">
        <f t="shared" si="1"/>
        <v>572</v>
      </c>
      <c r="H25" s="45">
        <f t="shared" si="2"/>
        <v>0.509803921568627</v>
      </c>
      <c r="I25" s="31"/>
    </row>
    <row r="26" s="25" customFormat="1" customHeight="1" spans="1:9">
      <c r="A26" s="32" t="str">
        <f t="shared" si="0"/>
        <v>BT5TB500(Thymosin B4 AceTate)5mg*10vials</v>
      </c>
      <c r="B26" s="39" t="s">
        <v>48</v>
      </c>
      <c r="C26" s="40" t="s">
        <v>49</v>
      </c>
      <c r="D26" s="41" t="s">
        <v>10</v>
      </c>
      <c r="E26" s="42">
        <v>80</v>
      </c>
      <c r="F26" s="49">
        <v>260</v>
      </c>
      <c r="G26" s="44">
        <f t="shared" si="1"/>
        <v>284</v>
      </c>
      <c r="H26" s="45">
        <f t="shared" si="2"/>
        <v>0.522058823529412</v>
      </c>
      <c r="I26" s="31"/>
    </row>
    <row r="27" s="25" customFormat="1" customHeight="1" spans="1:9">
      <c r="A27" s="32" t="str">
        <f t="shared" si="0"/>
        <v>BT10TB500(Thymosin B4 AceTate)10mg*10vials</v>
      </c>
      <c r="B27" s="39" t="s">
        <v>50</v>
      </c>
      <c r="C27" s="40" t="s">
        <v>49</v>
      </c>
      <c r="D27" s="52" t="s">
        <v>12</v>
      </c>
      <c r="E27" s="42">
        <v>135</v>
      </c>
      <c r="F27" s="49">
        <v>430</v>
      </c>
      <c r="G27" s="44">
        <f t="shared" si="1"/>
        <v>488</v>
      </c>
      <c r="H27" s="45">
        <f t="shared" si="2"/>
        <v>0.531590413943355</v>
      </c>
      <c r="I27" s="31"/>
    </row>
    <row r="28" s="25" customFormat="1" customHeight="1" spans="1:9">
      <c r="A28" s="32" t="str">
        <f t="shared" si="0"/>
        <v>BBG70TB10mg+BPC10mg+GHK50mg70mg*10vials</v>
      </c>
      <c r="B28" s="39" t="s">
        <v>51</v>
      </c>
      <c r="C28" s="39" t="s">
        <v>52</v>
      </c>
      <c r="D28" s="52" t="s">
        <v>53</v>
      </c>
      <c r="E28" s="42">
        <v>165</v>
      </c>
      <c r="F28" s="49">
        <v>650</v>
      </c>
      <c r="G28" s="44">
        <f t="shared" si="1"/>
        <v>472</v>
      </c>
      <c r="H28" s="45">
        <f t="shared" si="2"/>
        <v>0.420677361853832</v>
      </c>
      <c r="I28" s="31"/>
    </row>
    <row r="29" s="25" customFormat="1" customHeight="1" spans="1:9">
      <c r="A29" s="32" t="str">
        <f t="shared" si="0"/>
        <v>BBKG80TB10mg+BPC10mg+KPV10mg+GHK50mg80mg*10vials</v>
      </c>
      <c r="B29" s="46" t="s">
        <v>54</v>
      </c>
      <c r="C29" s="53" t="s">
        <v>55</v>
      </c>
      <c r="D29" s="41" t="s">
        <v>56</v>
      </c>
      <c r="E29" s="42">
        <v>212</v>
      </c>
      <c r="F29" s="47">
        <v>700</v>
      </c>
      <c r="G29" s="44">
        <f t="shared" si="1"/>
        <v>741.6</v>
      </c>
      <c r="H29" s="45">
        <f t="shared" si="2"/>
        <v>0.514428412874584</v>
      </c>
      <c r="I29" s="31"/>
    </row>
    <row r="30" s="25" customFormat="1" customHeight="1" spans="1:9">
      <c r="A30" s="32" t="str">
        <f t="shared" si="0"/>
        <v>CP10CJC-1295 Without DAC 5mg+IPA 5mg10mg*10vials</v>
      </c>
      <c r="B30" s="39" t="s">
        <v>57</v>
      </c>
      <c r="C30" s="53" t="s">
        <v>58</v>
      </c>
      <c r="D30" s="41" t="s">
        <v>12</v>
      </c>
      <c r="E30" s="42">
        <v>106</v>
      </c>
      <c r="F30" s="43">
        <v>370</v>
      </c>
      <c r="G30" s="44">
        <f t="shared" si="1"/>
        <v>350.8</v>
      </c>
      <c r="H30" s="45">
        <f t="shared" si="2"/>
        <v>0.486681465038846</v>
      </c>
      <c r="I30" s="31"/>
    </row>
    <row r="31" s="25" customFormat="1" customHeight="1" spans="1:9">
      <c r="A31" s="32" t="str">
        <f t="shared" si="0"/>
        <v>CU50GHK-CU50mg*10vials</v>
      </c>
      <c r="B31" s="39" t="s">
        <v>59</v>
      </c>
      <c r="C31" s="48" t="s">
        <v>60</v>
      </c>
      <c r="D31" s="41" t="s">
        <v>36</v>
      </c>
      <c r="E31" s="42">
        <v>39</v>
      </c>
      <c r="F31" s="43">
        <v>120</v>
      </c>
      <c r="G31" s="44">
        <f t="shared" si="1"/>
        <v>145.2</v>
      </c>
      <c r="H31" s="45">
        <f t="shared" si="2"/>
        <v>0.547511312217195</v>
      </c>
      <c r="I31" s="31"/>
    </row>
    <row r="32" s="25" customFormat="1" customHeight="1" spans="1:9">
      <c r="A32" s="32" t="str">
        <f t="shared" si="0"/>
        <v>CU100GHK-CU100mg*10vials</v>
      </c>
      <c r="B32" s="39" t="s">
        <v>61</v>
      </c>
      <c r="C32" s="50" t="s">
        <v>60</v>
      </c>
      <c r="D32" s="41" t="s">
        <v>32</v>
      </c>
      <c r="E32" s="42">
        <v>49</v>
      </c>
      <c r="F32" s="43">
        <v>160</v>
      </c>
      <c r="G32" s="44">
        <f t="shared" si="1"/>
        <v>173.2</v>
      </c>
      <c r="H32" s="45">
        <f t="shared" si="2"/>
        <v>0.519807923169268</v>
      </c>
      <c r="I32" s="31"/>
    </row>
    <row r="33" s="25" customFormat="1" customHeight="1" spans="1:9">
      <c r="A33" s="32" t="str">
        <f t="shared" si="0"/>
        <v>CD5CJC-1295 With DAC5mg*10vials</v>
      </c>
      <c r="B33" s="39" t="s">
        <v>62</v>
      </c>
      <c r="C33" s="48" t="s">
        <v>63</v>
      </c>
      <c r="D33" s="41" t="s">
        <v>10</v>
      </c>
      <c r="E33" s="42">
        <v>116</v>
      </c>
      <c r="F33" s="43">
        <v>500</v>
      </c>
      <c r="G33" s="44">
        <f t="shared" si="1"/>
        <v>288.8</v>
      </c>
      <c r="H33" s="45">
        <f t="shared" si="2"/>
        <v>0.366125760649087</v>
      </c>
      <c r="I33" s="31"/>
    </row>
    <row r="34" s="25" customFormat="1" customHeight="1" spans="1:9">
      <c r="A34" s="32" t="str">
        <f t="shared" si="0"/>
        <v>CGL5Cagrilintide5mg*10vials</v>
      </c>
      <c r="B34" s="46" t="s">
        <v>64</v>
      </c>
      <c r="C34" s="40" t="s">
        <v>65</v>
      </c>
      <c r="D34" s="41" t="s">
        <v>10</v>
      </c>
      <c r="E34" s="42">
        <v>106</v>
      </c>
      <c r="F34" s="47">
        <v>400</v>
      </c>
      <c r="G34" s="44">
        <f t="shared" si="1"/>
        <v>320.8</v>
      </c>
      <c r="H34" s="45">
        <f t="shared" si="2"/>
        <v>0.445061043285239</v>
      </c>
      <c r="I34" s="31"/>
    </row>
    <row r="35" s="25" customFormat="1" customHeight="1" spans="1:9">
      <c r="A35" s="32" t="str">
        <f t="shared" si="0"/>
        <v>CGL10Cagrilintide10mg*10vials</v>
      </c>
      <c r="B35" s="46" t="s">
        <v>66</v>
      </c>
      <c r="C35" s="40" t="s">
        <v>65</v>
      </c>
      <c r="D35" s="41" t="s">
        <v>12</v>
      </c>
      <c r="E35" s="42">
        <v>200</v>
      </c>
      <c r="F35" s="47">
        <v>680</v>
      </c>
      <c r="G35" s="44">
        <f t="shared" si="1"/>
        <v>680</v>
      </c>
      <c r="H35" s="45">
        <f t="shared" si="2"/>
        <v>0.5</v>
      </c>
      <c r="I35" s="31"/>
    </row>
    <row r="36" s="25" customFormat="1" customHeight="1" spans="1:9">
      <c r="A36" s="32" t="str">
        <f t="shared" si="0"/>
        <v>DS5DSIP5mg*10vials</v>
      </c>
      <c r="B36" s="39" t="s">
        <v>67</v>
      </c>
      <c r="C36" s="50" t="s">
        <v>68</v>
      </c>
      <c r="D36" s="41" t="s">
        <v>10</v>
      </c>
      <c r="E36" s="42">
        <v>50</v>
      </c>
      <c r="F36" s="47">
        <v>160</v>
      </c>
      <c r="G36" s="44">
        <f t="shared" si="1"/>
        <v>180</v>
      </c>
      <c r="H36" s="45">
        <f t="shared" si="2"/>
        <v>0.529411764705882</v>
      </c>
      <c r="I36" s="31"/>
    </row>
    <row r="37" s="25" customFormat="1" customHeight="1" spans="1:9">
      <c r="A37" s="32" t="str">
        <f t="shared" si="0"/>
        <v>DS10DSIP10mg*10vials</v>
      </c>
      <c r="B37" s="39" t="s">
        <v>69</v>
      </c>
      <c r="C37" s="50" t="s">
        <v>68</v>
      </c>
      <c r="D37" s="41" t="s">
        <v>12</v>
      </c>
      <c r="E37" s="42">
        <v>88</v>
      </c>
      <c r="F37" s="47">
        <v>280</v>
      </c>
      <c r="G37" s="44">
        <f t="shared" si="1"/>
        <v>318.4</v>
      </c>
      <c r="H37" s="45">
        <f t="shared" si="2"/>
        <v>0.532085561497326</v>
      </c>
      <c r="I37" s="31"/>
    </row>
    <row r="38" s="25" customFormat="1" customHeight="1" spans="1:9">
      <c r="A38" s="32" t="str">
        <f t="shared" si="0"/>
        <v>ET10Epithalon10mg*10vials</v>
      </c>
      <c r="B38" s="39" t="s">
        <v>70</v>
      </c>
      <c r="C38" s="40" t="s">
        <v>71</v>
      </c>
      <c r="D38" s="41" t="s">
        <v>12</v>
      </c>
      <c r="E38" s="42">
        <v>52</v>
      </c>
      <c r="F38" s="47">
        <v>160</v>
      </c>
      <c r="G38" s="44">
        <f t="shared" si="1"/>
        <v>193.6</v>
      </c>
      <c r="H38" s="45">
        <f t="shared" si="2"/>
        <v>0.547511312217195</v>
      </c>
      <c r="I38" s="31"/>
    </row>
    <row r="39" s="25" customFormat="1" customHeight="1" spans="1:9">
      <c r="A39" s="32" t="str">
        <f t="shared" si="0"/>
        <v>ET50Epithalon50mg*10vials</v>
      </c>
      <c r="B39" s="39" t="s">
        <v>72</v>
      </c>
      <c r="C39" s="40" t="s">
        <v>71</v>
      </c>
      <c r="D39" s="41" t="s">
        <v>36</v>
      </c>
      <c r="E39" s="42">
        <v>122</v>
      </c>
      <c r="F39" s="47">
        <v>440</v>
      </c>
      <c r="G39" s="44">
        <f t="shared" si="1"/>
        <v>389.6</v>
      </c>
      <c r="H39" s="45">
        <f t="shared" si="2"/>
        <v>0.469623915139826</v>
      </c>
      <c r="I39" s="31"/>
    </row>
    <row r="40" s="25" customFormat="1" customHeight="1" spans="1:9">
      <c r="A40" s="32" t="str">
        <f t="shared" si="0"/>
        <v>GTTGlutathione1500mg*10vials</v>
      </c>
      <c r="B40" s="46" t="s">
        <v>73</v>
      </c>
      <c r="C40" s="46" t="s">
        <v>74</v>
      </c>
      <c r="D40" s="41" t="s">
        <v>75</v>
      </c>
      <c r="E40" s="42">
        <v>70</v>
      </c>
      <c r="F40" s="47">
        <v>200</v>
      </c>
      <c r="G40" s="44">
        <f t="shared" si="1"/>
        <v>276</v>
      </c>
      <c r="H40" s="45">
        <f t="shared" si="2"/>
        <v>0.579831932773109</v>
      </c>
      <c r="I40" s="31"/>
    </row>
    <row r="41" s="25" customFormat="1" customHeight="1" spans="1:9">
      <c r="A41" s="54" t="str">
        <f t="shared" si="0"/>
        <v>G10HGH 191AA10iu*10vials</v>
      </c>
      <c r="B41" s="55" t="s">
        <v>76</v>
      </c>
      <c r="C41" s="40" t="s">
        <v>77</v>
      </c>
      <c r="D41" s="41" t="s">
        <v>78</v>
      </c>
      <c r="E41" s="42">
        <v>43</v>
      </c>
      <c r="F41" s="43">
        <v>145</v>
      </c>
      <c r="G41" s="44">
        <f t="shared" si="1"/>
        <v>147.4</v>
      </c>
      <c r="H41" s="45">
        <f t="shared" si="2"/>
        <v>0.504103967168263</v>
      </c>
      <c r="I41" s="31"/>
    </row>
    <row r="42" s="25" customFormat="1" customHeight="1" spans="1:9">
      <c r="A42" s="54" t="str">
        <f t="shared" si="0"/>
        <v>G24HGH 191AA24iu*10vials</v>
      </c>
      <c r="B42" s="55" t="s">
        <v>79</v>
      </c>
      <c r="C42" s="40" t="s">
        <v>77</v>
      </c>
      <c r="D42" s="52" t="s">
        <v>80</v>
      </c>
      <c r="E42" s="42">
        <v>110</v>
      </c>
      <c r="F42" s="43">
        <v>380</v>
      </c>
      <c r="G42" s="44">
        <f t="shared" si="1"/>
        <v>368</v>
      </c>
      <c r="H42" s="45">
        <f t="shared" si="2"/>
        <v>0.491978609625668</v>
      </c>
      <c r="I42" s="31"/>
    </row>
    <row r="43" s="25" customFormat="1" customHeight="1" spans="1:9">
      <c r="A43" s="54" t="str">
        <f t="shared" si="0"/>
        <v>G36HGH 191AA36iu*10vials</v>
      </c>
      <c r="B43" s="55" t="s">
        <v>81</v>
      </c>
      <c r="C43" s="40" t="s">
        <v>77</v>
      </c>
      <c r="D43" s="41" t="s">
        <v>82</v>
      </c>
      <c r="E43" s="42">
        <v>179</v>
      </c>
      <c r="F43" s="47">
        <v>580</v>
      </c>
      <c r="G43" s="44">
        <f t="shared" si="1"/>
        <v>637.2</v>
      </c>
      <c r="H43" s="45">
        <f t="shared" si="2"/>
        <v>0.523496549457772</v>
      </c>
      <c r="I43" s="31"/>
    </row>
    <row r="44" s="25" customFormat="1" customHeight="1" spans="1:9">
      <c r="A44" s="32" t="str">
        <f t="shared" si="0"/>
        <v>HC5000HCG5000iu*10vials</v>
      </c>
      <c r="B44" s="56" t="s">
        <v>83</v>
      </c>
      <c r="C44" s="50" t="s">
        <v>84</v>
      </c>
      <c r="D44" s="41" t="s">
        <v>85</v>
      </c>
      <c r="E44" s="42">
        <v>68</v>
      </c>
      <c r="F44" s="47">
        <v>230</v>
      </c>
      <c r="G44" s="44">
        <f t="shared" si="1"/>
        <v>232.4</v>
      </c>
      <c r="H44" s="45">
        <f t="shared" si="2"/>
        <v>0.502595155709343</v>
      </c>
      <c r="I44" s="31"/>
    </row>
    <row r="45" s="25" customFormat="1" customHeight="1" spans="1:9">
      <c r="A45" s="32" t="str">
        <f t="shared" si="0"/>
        <v>IP5Ipamorelin5mg*10vials</v>
      </c>
      <c r="B45" s="39" t="s">
        <v>86</v>
      </c>
      <c r="C45" s="40" t="s">
        <v>87</v>
      </c>
      <c r="D45" s="41" t="s">
        <v>10</v>
      </c>
      <c r="E45" s="42">
        <v>50</v>
      </c>
      <c r="F45" s="43">
        <v>160</v>
      </c>
      <c r="G45" s="44">
        <f t="shared" si="1"/>
        <v>180</v>
      </c>
      <c r="H45" s="45">
        <f t="shared" si="2"/>
        <v>0.529411764705882</v>
      </c>
      <c r="I45" s="31"/>
    </row>
    <row r="46" s="25" customFormat="1" customHeight="1" spans="1:9">
      <c r="A46" s="32" t="str">
        <f t="shared" si="0"/>
        <v>IP10Ipamorelin10mg*10vials</v>
      </c>
      <c r="B46" s="39" t="s">
        <v>88</v>
      </c>
      <c r="C46" s="40" t="s">
        <v>87</v>
      </c>
      <c r="D46" s="41" t="s">
        <v>12</v>
      </c>
      <c r="E46" s="42">
        <v>71</v>
      </c>
      <c r="F46" s="43">
        <v>230</v>
      </c>
      <c r="G46" s="44">
        <f t="shared" si="1"/>
        <v>252.8</v>
      </c>
      <c r="H46" s="45">
        <f t="shared" si="2"/>
        <v>0.523612261806131</v>
      </c>
      <c r="I46" s="31"/>
    </row>
    <row r="47" s="25" customFormat="1" customHeight="1" spans="1:9">
      <c r="A47" s="32" t="str">
        <f t="shared" si="0"/>
        <v>IG01IGF-1LR30.1mg*10vials</v>
      </c>
      <c r="B47" s="39" t="s">
        <v>89</v>
      </c>
      <c r="C47" s="40" t="s">
        <v>90</v>
      </c>
      <c r="D47" s="41" t="s">
        <v>91</v>
      </c>
      <c r="E47" s="42">
        <v>55</v>
      </c>
      <c r="F47" s="43">
        <v>180</v>
      </c>
      <c r="G47" s="44">
        <f t="shared" si="1"/>
        <v>194</v>
      </c>
      <c r="H47" s="45">
        <f t="shared" si="2"/>
        <v>0.518716577540107</v>
      </c>
      <c r="I47" s="31"/>
    </row>
    <row r="48" s="25" customFormat="1" customHeight="1" spans="1:9">
      <c r="A48" s="32" t="str">
        <f t="shared" si="0"/>
        <v>IG1IGF-1LR31mg*10vials</v>
      </c>
      <c r="B48" s="39" t="s">
        <v>92</v>
      </c>
      <c r="C48" s="48" t="s">
        <v>90</v>
      </c>
      <c r="D48" s="41" t="s">
        <v>93</v>
      </c>
      <c r="E48" s="42">
        <v>165</v>
      </c>
      <c r="F48" s="43">
        <v>580</v>
      </c>
      <c r="G48" s="44">
        <f t="shared" si="1"/>
        <v>542</v>
      </c>
      <c r="H48" s="45">
        <f t="shared" si="2"/>
        <v>0.483065953654189</v>
      </c>
      <c r="I48" s="31"/>
    </row>
    <row r="49" s="25" customFormat="1" customHeight="1" spans="1:9">
      <c r="A49" s="32" t="str">
        <f t="shared" si="0"/>
        <v>KS10KissPeptin-1010mg*10vials</v>
      </c>
      <c r="B49" s="39" t="s">
        <v>94</v>
      </c>
      <c r="C49" s="40" t="s">
        <v>95</v>
      </c>
      <c r="D49" s="41" t="s">
        <v>12</v>
      </c>
      <c r="E49" s="42">
        <v>77</v>
      </c>
      <c r="F49" s="47">
        <v>280</v>
      </c>
      <c r="G49" s="44">
        <f t="shared" si="1"/>
        <v>243.6</v>
      </c>
      <c r="H49" s="45">
        <f t="shared" si="2"/>
        <v>0.46524064171123</v>
      </c>
      <c r="I49" s="31"/>
    </row>
    <row r="50" s="25" customFormat="1" customHeight="1" spans="1:9">
      <c r="A50" s="32" t="str">
        <f t="shared" si="0"/>
        <v>MT1Melanotan I10mg*10vials</v>
      </c>
      <c r="B50" s="57" t="s">
        <v>96</v>
      </c>
      <c r="C50" s="40" t="s">
        <v>97</v>
      </c>
      <c r="D50" s="41" t="s">
        <v>12</v>
      </c>
      <c r="E50" s="42">
        <v>55</v>
      </c>
      <c r="F50" s="58">
        <v>180</v>
      </c>
      <c r="G50" s="44">
        <f t="shared" si="1"/>
        <v>194</v>
      </c>
      <c r="H50" s="45">
        <f t="shared" si="2"/>
        <v>0.518716577540107</v>
      </c>
      <c r="I50" s="31"/>
    </row>
    <row r="51" s="25" customFormat="1" customHeight="1" spans="1:9">
      <c r="A51" s="32" t="str">
        <f t="shared" si="0"/>
        <v>ML10MT-2(Melanotan 2 Acetate)10mg*10vials</v>
      </c>
      <c r="B51" s="39" t="s">
        <v>98</v>
      </c>
      <c r="C51" s="40" t="s">
        <v>99</v>
      </c>
      <c r="D51" s="41" t="s">
        <v>12</v>
      </c>
      <c r="E51" s="42">
        <v>57</v>
      </c>
      <c r="F51" s="43">
        <v>180</v>
      </c>
      <c r="G51" s="44">
        <f t="shared" si="1"/>
        <v>207.6</v>
      </c>
      <c r="H51" s="45">
        <f t="shared" si="2"/>
        <v>0.535603715170279</v>
      </c>
      <c r="I51" s="31"/>
    </row>
    <row r="52" s="25" customFormat="1" customHeight="1" spans="1:9">
      <c r="A52" s="32" t="str">
        <f t="shared" si="0"/>
        <v>MS10MOTS-C10mg*10vials</v>
      </c>
      <c r="B52" s="39" t="s">
        <v>100</v>
      </c>
      <c r="C52" s="50" t="s">
        <v>101</v>
      </c>
      <c r="D52" s="41" t="s">
        <v>12</v>
      </c>
      <c r="E52" s="42">
        <v>59</v>
      </c>
      <c r="F52" s="43">
        <v>230</v>
      </c>
      <c r="G52" s="44">
        <f t="shared" si="1"/>
        <v>171.2</v>
      </c>
      <c r="H52" s="45">
        <f t="shared" si="2"/>
        <v>0.426719840478564</v>
      </c>
      <c r="I52" s="31"/>
    </row>
    <row r="53" s="25" customFormat="1" customHeight="1" spans="1:9">
      <c r="A53" s="32" t="str">
        <f t="shared" si="0"/>
        <v>MS15MOTS-C15mg*10vials</v>
      </c>
      <c r="B53" s="39" t="s">
        <v>102</v>
      </c>
      <c r="C53" s="50" t="s">
        <v>101</v>
      </c>
      <c r="D53" s="41" t="s">
        <v>14</v>
      </c>
      <c r="E53" s="42">
        <v>69</v>
      </c>
      <c r="F53" s="43">
        <v>260</v>
      </c>
      <c r="G53" s="44">
        <f t="shared" si="1"/>
        <v>209.2</v>
      </c>
      <c r="H53" s="45">
        <f t="shared" si="2"/>
        <v>0.445865302642796</v>
      </c>
      <c r="I53" s="31"/>
    </row>
    <row r="54" s="25" customFormat="1" customHeight="1" spans="1:9">
      <c r="A54" s="32" t="str">
        <f t="shared" si="0"/>
        <v>MS20MOTS-C20mg*10vials</v>
      </c>
      <c r="B54" s="53" t="s">
        <v>103</v>
      </c>
      <c r="C54" s="50" t="s">
        <v>101</v>
      </c>
      <c r="D54" s="41" t="s">
        <v>16</v>
      </c>
      <c r="E54" s="42">
        <v>95</v>
      </c>
      <c r="F54" s="43">
        <v>340</v>
      </c>
      <c r="G54" s="44">
        <f t="shared" si="1"/>
        <v>306</v>
      </c>
      <c r="H54" s="45">
        <f t="shared" si="2"/>
        <v>0.473684210526316</v>
      </c>
      <c r="I54" s="31"/>
    </row>
    <row r="55" s="25" customFormat="1" customHeight="1" spans="1:9">
      <c r="A55" s="32" t="str">
        <f t="shared" si="0"/>
        <v>MS40MOTS-C40mg*10vials</v>
      </c>
      <c r="B55" s="39" t="s">
        <v>104</v>
      </c>
      <c r="C55" s="50" t="s">
        <v>101</v>
      </c>
      <c r="D55" s="41" t="s">
        <v>20</v>
      </c>
      <c r="E55" s="42">
        <v>180</v>
      </c>
      <c r="F55" s="43">
        <v>600</v>
      </c>
      <c r="G55" s="44">
        <f t="shared" si="1"/>
        <v>624</v>
      </c>
      <c r="H55" s="45">
        <f t="shared" si="2"/>
        <v>0.509803921568627</v>
      </c>
      <c r="I55" s="31"/>
    </row>
    <row r="56" s="25" customFormat="1" customHeight="1" spans="1:9">
      <c r="A56" s="32" t="str">
        <f t="shared" si="0"/>
        <v>NJ100NAD+100mg*10vials</v>
      </c>
      <c r="B56" s="46" t="s">
        <v>105</v>
      </c>
      <c r="C56" s="40" t="s">
        <v>106</v>
      </c>
      <c r="D56" s="41" t="s">
        <v>32</v>
      </c>
      <c r="E56" s="42">
        <v>40</v>
      </c>
      <c r="F56" s="47">
        <v>120</v>
      </c>
      <c r="G56" s="44">
        <f t="shared" si="1"/>
        <v>152</v>
      </c>
      <c r="H56" s="45">
        <f t="shared" si="2"/>
        <v>0.558823529411765</v>
      </c>
      <c r="I56" s="31"/>
    </row>
    <row r="57" s="25" customFormat="1" customHeight="1" spans="1:9">
      <c r="A57" s="32" t="str">
        <f t="shared" si="0"/>
        <v>NJ500NAD+500mg*10vials</v>
      </c>
      <c r="B57" s="46" t="s">
        <v>107</v>
      </c>
      <c r="C57" s="40" t="s">
        <v>106</v>
      </c>
      <c r="D57" s="41" t="s">
        <v>108</v>
      </c>
      <c r="E57" s="42">
        <v>59</v>
      </c>
      <c r="F57" s="47">
        <v>150</v>
      </c>
      <c r="G57" s="44">
        <f t="shared" si="1"/>
        <v>251.2</v>
      </c>
      <c r="H57" s="45">
        <f t="shared" si="2"/>
        <v>0.626121635094716</v>
      </c>
      <c r="I57" s="31"/>
    </row>
    <row r="58" s="25" customFormat="1" customHeight="1" spans="1:9">
      <c r="A58" s="32" t="str">
        <f t="shared" si="0"/>
        <v>NJ1000NAD+1000mg*10vials</v>
      </c>
      <c r="B58" s="46" t="s">
        <v>109</v>
      </c>
      <c r="C58" s="40" t="s">
        <v>106</v>
      </c>
      <c r="D58" s="41" t="s">
        <v>110</v>
      </c>
      <c r="E58" s="42">
        <v>110</v>
      </c>
      <c r="F58" s="47">
        <v>240</v>
      </c>
      <c r="G58" s="44">
        <f t="shared" si="1"/>
        <v>508</v>
      </c>
      <c r="H58" s="45">
        <f t="shared" si="2"/>
        <v>0.679144385026738</v>
      </c>
      <c r="I58" s="31"/>
    </row>
    <row r="59" s="25" customFormat="1" customHeight="1" spans="1:9">
      <c r="A59" s="32" t="str">
        <f t="shared" si="0"/>
        <v>NP810SNAP-810mg*10vials</v>
      </c>
      <c r="B59" s="46" t="s">
        <v>111</v>
      </c>
      <c r="C59" s="40" t="s">
        <v>112</v>
      </c>
      <c r="D59" s="59" t="s">
        <v>12</v>
      </c>
      <c r="E59" s="42">
        <v>45</v>
      </c>
      <c r="F59" s="47">
        <v>160</v>
      </c>
      <c r="G59" s="44">
        <f t="shared" si="1"/>
        <v>146</v>
      </c>
      <c r="H59" s="45">
        <f t="shared" si="2"/>
        <v>0.477124183006536</v>
      </c>
      <c r="I59" s="31"/>
    </row>
    <row r="60" s="25" customFormat="1" customHeight="1" spans="1:9">
      <c r="A60" s="32" t="str">
        <f t="shared" si="0"/>
        <v>P41PT-14110mg*10vials</v>
      </c>
      <c r="B60" s="39" t="s">
        <v>113</v>
      </c>
      <c r="C60" s="40" t="s">
        <v>114</v>
      </c>
      <c r="D60" s="41" t="s">
        <v>12</v>
      </c>
      <c r="E60" s="42">
        <v>60</v>
      </c>
      <c r="F60" s="43">
        <v>230</v>
      </c>
      <c r="G60" s="44">
        <f t="shared" si="1"/>
        <v>178</v>
      </c>
      <c r="H60" s="45">
        <f t="shared" si="2"/>
        <v>0.436274509803922</v>
      </c>
      <c r="I60" s="31"/>
    </row>
    <row r="61" s="25" customFormat="1" customHeight="1" spans="1:9">
      <c r="A61" s="32" t="str">
        <f t="shared" si="0"/>
        <v>SK10Selank10mg*10vials</v>
      </c>
      <c r="B61" s="39" t="s">
        <v>115</v>
      </c>
      <c r="C61" s="40" t="s">
        <v>116</v>
      </c>
      <c r="D61" s="41" t="s">
        <v>12</v>
      </c>
      <c r="E61" s="42">
        <v>70</v>
      </c>
      <c r="F61" s="43">
        <v>230</v>
      </c>
      <c r="G61" s="44">
        <f t="shared" si="1"/>
        <v>246</v>
      </c>
      <c r="H61" s="45">
        <f t="shared" si="2"/>
        <v>0.516806722689076</v>
      </c>
      <c r="I61" s="31"/>
    </row>
    <row r="62" s="25" customFormat="1" customHeight="1" spans="1:9">
      <c r="A62" s="32" t="str">
        <f t="shared" si="0"/>
        <v>SMO-5Sermorelin Acetate5mg*10vials</v>
      </c>
      <c r="B62" s="39" t="s">
        <v>117</v>
      </c>
      <c r="C62" s="40" t="s">
        <v>118</v>
      </c>
      <c r="D62" s="41" t="s">
        <v>10</v>
      </c>
      <c r="E62" s="42">
        <v>69</v>
      </c>
      <c r="F62" s="43">
        <v>230</v>
      </c>
      <c r="G62" s="44">
        <f t="shared" si="1"/>
        <v>239.2</v>
      </c>
      <c r="H62" s="45">
        <f t="shared" si="2"/>
        <v>0.509803921568627</v>
      </c>
      <c r="I62" s="31"/>
    </row>
    <row r="63" s="25" customFormat="1" customHeight="1" spans="1:9">
      <c r="A63" s="32" t="str">
        <f t="shared" si="0"/>
        <v>SMO-10Sermorelin Acetate10mg*10vials</v>
      </c>
      <c r="B63" s="39" t="s">
        <v>119</v>
      </c>
      <c r="C63" s="40" t="s">
        <v>118</v>
      </c>
      <c r="D63" s="41" t="s">
        <v>12</v>
      </c>
      <c r="E63" s="42">
        <v>109</v>
      </c>
      <c r="F63" s="43">
        <v>400</v>
      </c>
      <c r="G63" s="44">
        <f t="shared" si="1"/>
        <v>341.2</v>
      </c>
      <c r="H63" s="45">
        <f t="shared" si="2"/>
        <v>0.460334592552617</v>
      </c>
      <c r="I63" s="31"/>
    </row>
    <row r="64" s="25" customFormat="1" customHeight="1" spans="1:9">
      <c r="A64" s="32" t="str">
        <f t="shared" si="0"/>
        <v>TA5Thymosin Alpha-15mg*10vials</v>
      </c>
      <c r="B64" s="39" t="s">
        <v>120</v>
      </c>
      <c r="C64" s="40" t="s">
        <v>121</v>
      </c>
      <c r="D64" s="41" t="s">
        <v>10</v>
      </c>
      <c r="E64" s="42">
        <v>87</v>
      </c>
      <c r="F64" s="47">
        <v>290</v>
      </c>
      <c r="G64" s="44">
        <f t="shared" si="1"/>
        <v>301.6</v>
      </c>
      <c r="H64" s="45">
        <f t="shared" si="2"/>
        <v>0.509803921568627</v>
      </c>
      <c r="I64" s="31"/>
    </row>
    <row r="65" s="25" customFormat="1" customHeight="1" spans="1:9">
      <c r="A65" s="32" t="str">
        <f t="shared" si="0"/>
        <v>TA10Thymosin Alpha-110mg*10vials</v>
      </c>
      <c r="B65" s="39" t="s">
        <v>122</v>
      </c>
      <c r="C65" s="40" t="s">
        <v>121</v>
      </c>
      <c r="D65" s="41" t="s">
        <v>12</v>
      </c>
      <c r="E65" s="42">
        <v>130</v>
      </c>
      <c r="F65" s="47">
        <v>480</v>
      </c>
      <c r="G65" s="44">
        <f t="shared" si="1"/>
        <v>404</v>
      </c>
      <c r="H65" s="45">
        <f t="shared" si="2"/>
        <v>0.457013574660633</v>
      </c>
      <c r="I65" s="31"/>
    </row>
    <row r="66" s="25" customFormat="1" customHeight="1" spans="1:9">
      <c r="A66" s="32" t="str">
        <f t="shared" si="0"/>
        <v>TSM5Tesamorelin5mg*10vials</v>
      </c>
      <c r="B66" s="39" t="s">
        <v>123</v>
      </c>
      <c r="C66" s="40" t="s">
        <v>124</v>
      </c>
      <c r="D66" s="41" t="s">
        <v>10</v>
      </c>
      <c r="E66" s="42">
        <v>83</v>
      </c>
      <c r="F66" s="43">
        <v>320</v>
      </c>
      <c r="G66" s="44">
        <f t="shared" si="1"/>
        <v>244.4</v>
      </c>
      <c r="H66" s="45">
        <f t="shared" si="2"/>
        <v>0.433026222537208</v>
      </c>
      <c r="I66" s="31"/>
    </row>
    <row r="67" s="25" customFormat="1" customHeight="1" spans="1:9">
      <c r="A67" s="32" t="str">
        <f>B67&amp;C67&amp;D67</f>
        <v>TSM10Tesamorelin10mg*10vials</v>
      </c>
      <c r="B67" s="39" t="s">
        <v>125</v>
      </c>
      <c r="C67" s="40" t="s">
        <v>124</v>
      </c>
      <c r="D67" s="41" t="s">
        <v>12</v>
      </c>
      <c r="E67" s="42">
        <v>154</v>
      </c>
      <c r="F67" s="43">
        <v>550</v>
      </c>
      <c r="G67" s="44">
        <f>(E67*6.8)-F67</f>
        <v>497.2</v>
      </c>
      <c r="H67" s="45">
        <f>G67/(E67*6.8)</f>
        <v>0.474789915966387</v>
      </c>
      <c r="I67" s="31"/>
    </row>
    <row r="68" s="25" customFormat="1" customHeight="1" spans="1:9">
      <c r="A68" s="32" t="str">
        <f>B68&amp;C68&amp;D68</f>
        <v>XA5SEMAX5mg*10vials</v>
      </c>
      <c r="B68" s="46" t="s">
        <v>126</v>
      </c>
      <c r="C68" s="40" t="s">
        <v>127</v>
      </c>
      <c r="D68" s="41" t="s">
        <v>10</v>
      </c>
      <c r="E68" s="42">
        <v>54</v>
      </c>
      <c r="F68" s="47">
        <v>160</v>
      </c>
      <c r="G68" s="44">
        <f>(E68*6.8)-F68</f>
        <v>207.2</v>
      </c>
      <c r="H68" s="45">
        <f>G68/(E68*6.8)</f>
        <v>0.564270152505447</v>
      </c>
      <c r="I68" s="31"/>
    </row>
    <row r="69" s="25" customFormat="1" customHeight="1" spans="1:9">
      <c r="A69" s="32" t="str">
        <f>B69&amp;C69&amp;D69</f>
        <v>XA10SEMAX10mg*10vials</v>
      </c>
      <c r="B69" s="46" t="s">
        <v>128</v>
      </c>
      <c r="C69" s="40" t="s">
        <v>127</v>
      </c>
      <c r="D69" s="41" t="s">
        <v>12</v>
      </c>
      <c r="E69" s="42">
        <v>70</v>
      </c>
      <c r="F69" s="43">
        <v>200</v>
      </c>
      <c r="G69" s="44">
        <f>(E69*6.8)-F69</f>
        <v>276</v>
      </c>
      <c r="H69" s="45">
        <f>G69/(E69*6.8)</f>
        <v>0.579831932773109</v>
      </c>
      <c r="I69" s="31"/>
    </row>
    <row r="70" s="25" customFormat="1" customHeight="1" spans="1:9">
      <c r="A70" s="32" t="str">
        <f>B70&amp;C70&amp;D70</f>
        <v>BA3BAC WATER3ml*10vials</v>
      </c>
      <c r="B70" s="60" t="s">
        <v>129</v>
      </c>
      <c r="C70" s="40" t="s">
        <v>130</v>
      </c>
      <c r="D70" s="52" t="s">
        <v>131</v>
      </c>
      <c r="E70" s="42">
        <v>7</v>
      </c>
      <c r="F70" s="47">
        <v>17</v>
      </c>
      <c r="G70" s="44">
        <f>(E70*6.8)-F70</f>
        <v>30.6</v>
      </c>
      <c r="H70" s="45">
        <f>G70/(E70*6.8)</f>
        <v>0.642857142857143</v>
      </c>
      <c r="I70" s="31"/>
    </row>
    <row r="71" s="25" customFormat="1" customHeight="1" spans="1:9">
      <c r="A71" s="32" t="str">
        <f>B71&amp;C71&amp;D71</f>
        <v>BA10BAC WATER10ml*10vials</v>
      </c>
      <c r="B71" s="60" t="s">
        <v>132</v>
      </c>
      <c r="C71" s="40" t="s">
        <v>130</v>
      </c>
      <c r="D71" s="52" t="s">
        <v>133</v>
      </c>
      <c r="E71" s="42">
        <v>10</v>
      </c>
      <c r="F71" s="47">
        <v>25</v>
      </c>
      <c r="G71" s="44">
        <f>(E71*6.8)-F71</f>
        <v>43</v>
      </c>
      <c r="H71" s="45">
        <f>G71/(E71*6.8)</f>
        <v>0.632352941176471</v>
      </c>
      <c r="I71" s="31"/>
    </row>
    <row r="72" s="25" customFormat="1" customHeight="1" spans="1:9">
      <c r="A72" s="26"/>
      <c r="B72" s="61"/>
      <c r="C72" s="25"/>
      <c r="D72" s="25"/>
      <c r="E72" s="27"/>
      <c r="F72" s="28"/>
      <c r="G72" s="29"/>
      <c r="H72" s="30"/>
      <c r="I72" s="31"/>
    </row>
    <row r="73" s="25" customFormat="1" customHeight="1" spans="1:9">
      <c r="A73" s="26"/>
      <c r="B73" s="25"/>
      <c r="C73" s="25"/>
      <c r="D73" s="25"/>
      <c r="E73" s="27"/>
      <c r="F73" s="28"/>
      <c r="G73" s="29"/>
      <c r="H73" s="30"/>
      <c r="I73" s="31"/>
    </row>
    <row r="74" s="25" customFormat="1" customHeight="1" spans="1:9">
      <c r="A74" s="26"/>
      <c r="B74" s="25"/>
      <c r="C74" s="25"/>
      <c r="D74" s="25"/>
      <c r="E74" s="27"/>
      <c r="F74" s="28"/>
      <c r="G74" s="29"/>
      <c r="H74" s="30"/>
      <c r="I74" s="31"/>
    </row>
    <row r="75" s="25" customFormat="1" customHeight="1" spans="1:9">
      <c r="A75" s="26"/>
      <c r="B75" s="25"/>
      <c r="C75" s="25"/>
      <c r="D75" s="25"/>
      <c r="E75" s="27"/>
      <c r="F75" s="28"/>
      <c r="G75" s="29"/>
      <c r="H75" s="30"/>
      <c r="I75" s="31"/>
    </row>
    <row r="76" s="25" customFormat="1" customHeight="1" spans="1:9">
      <c r="A76" s="26"/>
      <c r="B76" s="25"/>
      <c r="C76" s="25"/>
      <c r="D76" s="25"/>
      <c r="E76" s="27"/>
      <c r="F76" s="28"/>
      <c r="G76" s="29"/>
      <c r="H76" s="30"/>
      <c r="I76" s="31"/>
    </row>
    <row r="77" s="25" customFormat="1" customHeight="1" spans="1:9">
      <c r="A77" s="26"/>
      <c r="B77" s="25"/>
      <c r="C77" s="25"/>
      <c r="D77" s="25"/>
      <c r="E77" s="27"/>
      <c r="F77" s="28"/>
      <c r="G77" s="29"/>
      <c r="H77" s="30"/>
      <c r="I77" s="31"/>
    </row>
    <row r="78" s="25" customFormat="1" customHeight="1" spans="1:9">
      <c r="A78" s="26"/>
      <c r="B78" s="25"/>
      <c r="C78" s="25"/>
      <c r="D78" s="25"/>
      <c r="E78" s="27"/>
      <c r="F78" s="28"/>
      <c r="G78" s="29"/>
      <c r="H78" s="30"/>
      <c r="I78" s="31"/>
    </row>
    <row r="79" s="25" customFormat="1" customHeight="1" spans="1:9">
      <c r="A79" s="26"/>
      <c r="B79" s="25"/>
      <c r="C79" s="25"/>
      <c r="D79" s="25"/>
      <c r="E79" s="27"/>
      <c r="F79" s="28"/>
      <c r="G79" s="29"/>
      <c r="H79" s="30"/>
      <c r="I79" s="31"/>
    </row>
    <row r="80" s="25" customFormat="1" customHeight="1" spans="1:9">
      <c r="A80" s="26"/>
      <c r="B80" s="25"/>
      <c r="C80" s="25"/>
      <c r="D80" s="25"/>
      <c r="E80" s="27"/>
      <c r="F80" s="28"/>
      <c r="G80" s="29"/>
      <c r="H80" s="30"/>
      <c r="I80" s="31"/>
    </row>
    <row r="81" s="25" customFormat="1" customHeight="1" spans="1:9">
      <c r="A81" s="26"/>
      <c r="B81" s="25"/>
      <c r="C81" s="25"/>
      <c r="D81" s="25"/>
      <c r="E81" s="27"/>
      <c r="F81" s="28"/>
      <c r="G81" s="29"/>
      <c r="H81" s="30"/>
      <c r="I81" s="31"/>
    </row>
    <row r="82" s="25" customFormat="1" customHeight="1" spans="1:9">
      <c r="A82" s="26"/>
      <c r="B82" s="25"/>
      <c r="C82" s="25"/>
      <c r="D82" s="25"/>
      <c r="E82" s="27"/>
      <c r="F82" s="28"/>
      <c r="G82" s="29"/>
      <c r="H82" s="30"/>
      <c r="I82" s="31"/>
    </row>
    <row r="83" s="25" customFormat="1" customHeight="1" spans="1:9">
      <c r="A83" s="26"/>
      <c r="B83" s="25"/>
      <c r="C83" s="25"/>
      <c r="D83" s="25"/>
      <c r="E83" s="27"/>
      <c r="F83" s="28"/>
      <c r="G83" s="29"/>
      <c r="H83" s="30"/>
      <c r="I83" s="31"/>
    </row>
    <row r="84" s="25" customFormat="1" customHeight="1" spans="1:9">
      <c r="A84" s="26"/>
      <c r="B84" s="25"/>
      <c r="C84" s="25"/>
      <c r="D84" s="25"/>
      <c r="E84" s="27"/>
      <c r="F84" s="28"/>
      <c r="G84" s="29"/>
      <c r="H84" s="30"/>
      <c r="I84" s="31"/>
    </row>
    <row r="85" s="25" customFormat="1" customHeight="1" spans="1:9">
      <c r="A85" s="26"/>
      <c r="B85" s="25"/>
      <c r="C85" s="25"/>
      <c r="D85" s="25"/>
      <c r="E85" s="27"/>
      <c r="F85" s="28"/>
      <c r="G85" s="29"/>
      <c r="H85" s="30"/>
      <c r="I85" s="31"/>
    </row>
    <row r="86" s="25" customFormat="1" customHeight="1" spans="1:9">
      <c r="A86" s="26"/>
      <c r="B86" s="25"/>
      <c r="C86" s="25"/>
      <c r="D86" s="25"/>
      <c r="E86" s="27"/>
      <c r="F86" s="28"/>
      <c r="G86" s="29"/>
      <c r="H86" s="30"/>
      <c r="I86" s="31"/>
    </row>
    <row r="87" s="25" customFormat="1" customHeight="1" spans="1:9">
      <c r="A87" s="26"/>
      <c r="B87" s="25"/>
      <c r="C87" s="25"/>
      <c r="D87" s="25"/>
      <c r="E87" s="27"/>
      <c r="F87" s="28"/>
      <c r="G87" s="29"/>
      <c r="H87" s="30"/>
      <c r="I87" s="31"/>
    </row>
  </sheetData>
  <mergeCells count="1">
    <mergeCell ref="B1:H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9"/>
  <sheetViews>
    <sheetView tabSelected="1" workbookViewId="0">
      <selection activeCell="H29" sqref="H29"/>
    </sheetView>
  </sheetViews>
  <sheetFormatPr defaultColWidth="9" defaultRowHeight="14.25" outlineLevelCol="3"/>
  <cols>
    <col min="1" max="1" width="26.5" style="3" customWidth="1"/>
    <col min="2" max="2" width="22.0833333333333" style="4" customWidth="1"/>
    <col min="3" max="3" width="17.875" style="5" customWidth="1"/>
    <col min="4" max="4" width="10" style="6" customWidth="1"/>
  </cols>
  <sheetData>
    <row r="1" spans="1:4">
      <c r="B1" s="7" t="s">
        <v>134</v>
      </c>
      <c r="C1" s="8"/>
      <c r="D1" s="8"/>
    </row>
    <row r="2" spans="1:4">
      <c r="B2" s="9" t="s">
        <v>135</v>
      </c>
      <c r="C2" s="10" t="s">
        <v>136</v>
      </c>
      <c r="D2" s="10" t="s">
        <v>137</v>
      </c>
    </row>
    <row r="3" spans="1:4">
      <c r="A3" t="str">
        <f t="shared" ref="A3:A66" si="0">B3&amp;C3</f>
        <v>ADMAX5mg*10vials</v>
      </c>
      <c r="B3" s="11" t="s">
        <v>138</v>
      </c>
      <c r="C3" s="12" t="s">
        <v>10</v>
      </c>
      <c r="D3" s="13">
        <v>312</v>
      </c>
    </row>
    <row r="4" spans="1:4">
      <c r="A4" t="str">
        <f t="shared" si="0"/>
        <v>ADMAX10mg*10vials</v>
      </c>
      <c r="B4" s="11" t="s">
        <v>138</v>
      </c>
      <c r="C4" s="14" t="s">
        <v>12</v>
      </c>
      <c r="D4" s="13">
        <v>440</v>
      </c>
    </row>
    <row r="5" spans="1:4">
      <c r="A5" t="str">
        <f t="shared" si="0"/>
        <v>Adipotide/FTTP2mg*10vials</v>
      </c>
      <c r="B5" s="11" t="s">
        <v>139</v>
      </c>
      <c r="C5" s="14" t="s">
        <v>140</v>
      </c>
      <c r="D5" s="13">
        <v>274.705882352941</v>
      </c>
    </row>
    <row r="6" spans="1:4">
      <c r="A6" t="str">
        <f t="shared" si="0"/>
        <v>Adipotide/FTTP5mg*10vials</v>
      </c>
      <c r="B6" s="11" t="s">
        <v>139</v>
      </c>
      <c r="C6" s="14" t="s">
        <v>10</v>
      </c>
      <c r="D6" s="13">
        <v>571.176470588235</v>
      </c>
    </row>
    <row r="7" spans="1:4">
      <c r="A7" t="str">
        <f t="shared" si="0"/>
        <v>Adipotide/FTTP10mg*10vials</v>
      </c>
      <c r="B7" s="11" t="s">
        <v>139</v>
      </c>
      <c r="C7" s="14" t="s">
        <v>12</v>
      </c>
      <c r="D7" s="13">
        <v>842.94117647059</v>
      </c>
    </row>
    <row r="8" spans="1:4">
      <c r="A8" t="str">
        <f t="shared" si="0"/>
        <v>Aicar50mg*10vials</v>
      </c>
      <c r="B8" s="15" t="s">
        <v>141</v>
      </c>
      <c r="C8" s="14" t="s">
        <v>36</v>
      </c>
      <c r="D8" s="13">
        <v>300</v>
      </c>
    </row>
    <row r="9" spans="1:4">
      <c r="A9" t="str">
        <f t="shared" si="0"/>
        <v>Aicar100mg*10vials</v>
      </c>
      <c r="B9" s="15" t="s">
        <v>141</v>
      </c>
      <c r="C9" s="14" t="s">
        <v>32</v>
      </c>
      <c r="D9" s="13">
        <v>540</v>
      </c>
    </row>
    <row r="10" ht="28.5" customHeight="1" spans="1:4">
      <c r="A10" t="str">
        <f t="shared" si="0"/>
        <v>ARA290 (Cibinetide)10mg*10vials</v>
      </c>
      <c r="B10" s="11" t="s">
        <v>142</v>
      </c>
      <c r="C10" s="14" t="s">
        <v>12</v>
      </c>
      <c r="D10" s="13">
        <v>287.058823529412</v>
      </c>
    </row>
    <row r="11" ht="28.5" customHeight="1" spans="1:4">
      <c r="A11" t="str">
        <f t="shared" si="0"/>
        <v>ARA290 (Cibinetide)16mg*10vials</v>
      </c>
      <c r="B11" s="11" t="s">
        <v>142</v>
      </c>
      <c r="C11" s="12" t="s">
        <v>143</v>
      </c>
      <c r="D11" s="13">
        <v>385.882352941176</v>
      </c>
    </row>
    <row r="12" spans="1:4">
      <c r="A12" t="str">
        <f t="shared" si="0"/>
        <v>AOD96042mg*10vials</v>
      </c>
      <c r="B12" s="11" t="s">
        <v>144</v>
      </c>
      <c r="C12" s="14" t="s">
        <v>140</v>
      </c>
      <c r="D12" s="13">
        <v>175.882352941176</v>
      </c>
    </row>
    <row r="13" spans="1:4">
      <c r="A13" t="str">
        <f t="shared" si="0"/>
        <v>AOD96045mg*10vials</v>
      </c>
      <c r="B13" s="11" t="s">
        <v>144</v>
      </c>
      <c r="C13" s="14" t="s">
        <v>10</v>
      </c>
      <c r="D13" s="13">
        <v>342.647058823529</v>
      </c>
    </row>
    <row r="14" spans="1:4">
      <c r="A14" t="str">
        <f t="shared" si="0"/>
        <v>AOD960410mg*10vials</v>
      </c>
      <c r="B14" s="11" t="s">
        <v>144</v>
      </c>
      <c r="C14" s="14" t="s">
        <v>12</v>
      </c>
      <c r="D14" s="13">
        <v>620</v>
      </c>
    </row>
    <row r="15" spans="1:4">
      <c r="A15" t="str">
        <f t="shared" si="0"/>
        <v>ACE 0311mg*10vials</v>
      </c>
      <c r="B15" s="15" t="s">
        <v>145</v>
      </c>
      <c r="C15" s="14" t="s">
        <v>93</v>
      </c>
      <c r="D15" s="13">
        <v>160</v>
      </c>
    </row>
    <row r="16" spans="1:4">
      <c r="A16" t="str">
        <f t="shared" si="0"/>
        <v>AHK-CU20mg*10vials</v>
      </c>
      <c r="B16" s="9" t="s">
        <v>146</v>
      </c>
      <c r="C16" s="12" t="s">
        <v>16</v>
      </c>
      <c r="D16" s="13">
        <v>125</v>
      </c>
    </row>
    <row r="17" spans="1:4">
      <c r="A17" t="str">
        <f t="shared" si="0"/>
        <v>AHK-CU50mg*10vials</v>
      </c>
      <c r="B17" s="9" t="s">
        <v>146</v>
      </c>
      <c r="C17" s="12" t="s">
        <v>36</v>
      </c>
      <c r="D17" s="13">
        <v>170</v>
      </c>
    </row>
    <row r="18" spans="1:4">
      <c r="A18" t="str">
        <f t="shared" si="0"/>
        <v>B121mg/ml</v>
      </c>
      <c r="B18" s="16" t="s">
        <v>147</v>
      </c>
      <c r="C18" s="12" t="s">
        <v>148</v>
      </c>
      <c r="D18" s="13">
        <v>220</v>
      </c>
    </row>
    <row r="19" spans="1:4">
      <c r="A19" t="str">
        <f t="shared" si="0"/>
        <v>B7-3310mg*10vials</v>
      </c>
      <c r="B19" s="11" t="s">
        <v>149</v>
      </c>
      <c r="C19" s="14" t="s">
        <v>12</v>
      </c>
      <c r="D19" s="13">
        <v>787.352941176472</v>
      </c>
    </row>
    <row r="20" spans="1:4">
      <c r="A20" t="str">
        <f t="shared" si="0"/>
        <v>B7-332mg*10vials</v>
      </c>
      <c r="B20" s="11" t="s">
        <v>149</v>
      </c>
      <c r="C20" s="12" t="s">
        <v>140</v>
      </c>
      <c r="D20" s="13">
        <v>225.294117647059</v>
      </c>
    </row>
    <row r="21" spans="1:4">
      <c r="A21" t="str">
        <f t="shared" si="0"/>
        <v>BPC 1572mg*10vials</v>
      </c>
      <c r="B21" s="15" t="s">
        <v>41</v>
      </c>
      <c r="C21" s="14" t="s">
        <v>140</v>
      </c>
      <c r="D21" s="13">
        <v>101.764705882353</v>
      </c>
    </row>
    <row r="22" spans="1:4">
      <c r="A22" t="str">
        <f t="shared" si="0"/>
        <v>BPC 1575mg*10vials</v>
      </c>
      <c r="B22" s="15" t="s">
        <v>41</v>
      </c>
      <c r="C22" s="14" t="s">
        <v>10</v>
      </c>
      <c r="D22" s="13">
        <v>138.823529411765</v>
      </c>
    </row>
    <row r="23" spans="1:4">
      <c r="A23" t="str">
        <f t="shared" si="0"/>
        <v>BPC 15710mg*10vials</v>
      </c>
      <c r="B23" s="15" t="s">
        <v>41</v>
      </c>
      <c r="C23" s="14" t="s">
        <v>12</v>
      </c>
      <c r="D23" s="13">
        <v>188.235294117647</v>
      </c>
    </row>
    <row r="24" ht="28.5" customHeight="1" spans="1:4">
      <c r="A24" t="str">
        <f t="shared" si="0"/>
        <v>BPC 5mg+TB5mg10mg*10vials</v>
      </c>
      <c r="B24" s="15" t="s">
        <v>150</v>
      </c>
      <c r="C24" s="14" t="s">
        <v>12</v>
      </c>
      <c r="D24" s="13">
        <v>398.235294117647</v>
      </c>
    </row>
    <row r="25" ht="28.5" customHeight="1" spans="1:4">
      <c r="A25" t="str">
        <f t="shared" si="0"/>
        <v>BPC 10mg+TB10mg20mg*10vials</v>
      </c>
      <c r="B25" s="15" t="s">
        <v>151</v>
      </c>
      <c r="C25" s="14" t="s">
        <v>16</v>
      </c>
      <c r="D25" s="13">
        <v>682.352941176472</v>
      </c>
    </row>
    <row r="26" ht="28.5" customHeight="1" spans="1:4">
      <c r="A26" t="str">
        <f t="shared" si="0"/>
        <v>BPC 15mg+TB15mg30mg*10vials</v>
      </c>
      <c r="B26" s="15" t="s">
        <v>152</v>
      </c>
      <c r="C26" s="14" t="s">
        <v>18</v>
      </c>
      <c r="D26" s="13">
        <v>1090</v>
      </c>
    </row>
    <row r="27" spans="1:4">
      <c r="A27" t="str">
        <f t="shared" si="0"/>
        <v>bronchogen20mg*10vials</v>
      </c>
      <c r="B27" s="15" t="s">
        <v>153</v>
      </c>
      <c r="C27" s="14" t="s">
        <v>16</v>
      </c>
      <c r="D27" s="13">
        <v>370</v>
      </c>
    </row>
    <row r="28" spans="1:4">
      <c r="A28" t="str">
        <f t="shared" si="0"/>
        <v>Botulinum toxin100iu*10vials</v>
      </c>
      <c r="B28" s="15" t="s">
        <v>154</v>
      </c>
      <c r="C28" s="14" t="s">
        <v>155</v>
      </c>
      <c r="D28" s="13">
        <v>290</v>
      </c>
    </row>
    <row r="29" spans="1:4">
      <c r="A29" t="str">
        <f t="shared" si="0"/>
        <v>bac.water3ml *10vials</v>
      </c>
      <c r="B29" s="15" t="s">
        <v>156</v>
      </c>
      <c r="C29" s="14" t="s">
        <v>157</v>
      </c>
      <c r="D29" s="13">
        <v>35</v>
      </c>
    </row>
    <row r="30" spans="1:4">
      <c r="A30" t="str">
        <f t="shared" si="0"/>
        <v>bac.water10ml*10vials</v>
      </c>
      <c r="B30" s="15" t="s">
        <v>156</v>
      </c>
      <c r="C30" s="14" t="s">
        <v>133</v>
      </c>
      <c r="D30" s="13">
        <v>40</v>
      </c>
    </row>
    <row r="31" spans="1:4">
      <c r="A31" t="str">
        <f t="shared" si="0"/>
        <v>Cagrilintide2mg*10vials</v>
      </c>
      <c r="B31" s="11" t="s">
        <v>65</v>
      </c>
      <c r="C31" s="14" t="s">
        <v>140</v>
      </c>
      <c r="D31" s="13">
        <v>230</v>
      </c>
    </row>
    <row r="32" spans="1:4">
      <c r="A32" t="str">
        <f t="shared" si="0"/>
        <v>Cagrilintide5mg*10vials</v>
      </c>
      <c r="B32" s="11" t="s">
        <v>65</v>
      </c>
      <c r="C32" s="14" t="s">
        <v>10</v>
      </c>
      <c r="D32" s="13">
        <v>472.352941176471</v>
      </c>
    </row>
    <row r="33" spans="1:4">
      <c r="A33" t="str">
        <f t="shared" si="0"/>
        <v>Cagrilintide10mg*10vials</v>
      </c>
      <c r="B33" s="11" t="s">
        <v>65</v>
      </c>
      <c r="C33" s="14" t="s">
        <v>12</v>
      </c>
      <c r="D33" s="13">
        <v>818.235294117646</v>
      </c>
    </row>
    <row r="34" ht="28.5" customHeight="1" spans="1:4">
      <c r="A34" t="str">
        <f t="shared" si="0"/>
        <v>Cagrisema (2.5mg+2.5mg)5mg*10vials</v>
      </c>
      <c r="B34" s="15" t="s">
        <v>158</v>
      </c>
      <c r="C34" s="14" t="s">
        <v>10</v>
      </c>
      <c r="D34" s="13">
        <v>299.411764705883</v>
      </c>
    </row>
    <row r="35" ht="28.5" customHeight="1" spans="1:4">
      <c r="A35" t="str">
        <f t="shared" si="0"/>
        <v>Cagrisema (5mg+5mg)10mg*10vials</v>
      </c>
      <c r="B35" s="15" t="s">
        <v>159</v>
      </c>
      <c r="C35" s="14" t="s">
        <v>12</v>
      </c>
      <c r="D35" s="13">
        <v>440</v>
      </c>
    </row>
    <row r="36" ht="28.5" customHeight="1" spans="1:4">
      <c r="A36" t="str">
        <f t="shared" si="0"/>
        <v>Cagrisema (10mg+10mg)20mg*10vials</v>
      </c>
      <c r="B36" s="15" t="s">
        <v>160</v>
      </c>
      <c r="C36" s="14" t="s">
        <v>16</v>
      </c>
      <c r="D36" s="13">
        <v>790</v>
      </c>
    </row>
    <row r="37" spans="1:4">
      <c r="A37" t="str">
        <f t="shared" si="0"/>
        <v>CJC1295 with DAC2mg*10vials</v>
      </c>
      <c r="B37" s="15" t="s">
        <v>161</v>
      </c>
      <c r="C37" s="14" t="s">
        <v>140</v>
      </c>
      <c r="D37" s="13">
        <v>310</v>
      </c>
    </row>
    <row r="38" spans="1:4">
      <c r="A38" t="str">
        <f t="shared" si="0"/>
        <v>CJC1295 with DAC5mg*10vials</v>
      </c>
      <c r="B38" s="15" t="s">
        <v>161</v>
      </c>
      <c r="C38" s="14" t="s">
        <v>10</v>
      </c>
      <c r="D38" s="13">
        <v>660</v>
      </c>
    </row>
    <row r="39" ht="28.5" customHeight="1" spans="1:4">
      <c r="A39" t="str">
        <f t="shared" si="0"/>
        <v>CJC 1295(without DAC)2mg*10vials</v>
      </c>
      <c r="B39" s="15" t="s">
        <v>162</v>
      </c>
      <c r="C39" s="14" t="s">
        <v>140</v>
      </c>
      <c r="D39" s="13">
        <v>157.352941176471</v>
      </c>
    </row>
    <row r="40" ht="28.5" customHeight="1" spans="1:4">
      <c r="A40" t="str">
        <f t="shared" si="0"/>
        <v>CJC 1295(without DAC)5mg*10vials</v>
      </c>
      <c r="B40" s="15" t="s">
        <v>162</v>
      </c>
      <c r="C40" s="14" t="s">
        <v>10</v>
      </c>
      <c r="D40" s="13">
        <v>262.352941176471</v>
      </c>
    </row>
    <row r="41" ht="28.5" customHeight="1" spans="1:4">
      <c r="A41" t="str">
        <f t="shared" si="0"/>
        <v>CJC 1295(without DAC)10mg*10vials</v>
      </c>
      <c r="B41" s="15" t="s">
        <v>162</v>
      </c>
      <c r="C41" s="14" t="s">
        <v>12</v>
      </c>
      <c r="D41" s="13">
        <v>453.823529411765</v>
      </c>
    </row>
    <row r="42" ht="42.75" customHeight="1" spans="1:4">
      <c r="A42" t="str">
        <f t="shared" si="0"/>
        <v>CJC 1295(without DAC)5mg+IPA 5mg10mg*10vials</v>
      </c>
      <c r="B42" s="15" t="s">
        <v>163</v>
      </c>
      <c r="C42" s="14" t="s">
        <v>12</v>
      </c>
      <c r="D42" s="13">
        <v>336.470588235294</v>
      </c>
    </row>
    <row r="43" spans="1:4">
      <c r="A43" t="str">
        <f t="shared" si="0"/>
        <v/>
      </c>
      <c r="B43" s="17"/>
      <c r="C43" s="17"/>
      <c r="D43" s="13">
        <v>40</v>
      </c>
    </row>
    <row r="44" spans="1:4">
      <c r="A44" t="str">
        <f t="shared" si="0"/>
        <v>Cardiogen20mg*10vials</v>
      </c>
      <c r="B44" s="18" t="s">
        <v>164</v>
      </c>
      <c r="C44" s="12" t="s">
        <v>16</v>
      </c>
      <c r="D44" s="13">
        <v>385.882352941176</v>
      </c>
    </row>
    <row r="45" spans="1:4">
      <c r="A45" t="str">
        <f t="shared" si="0"/>
        <v>Cartalax20mg*10vials</v>
      </c>
      <c r="B45" s="18" t="s">
        <v>165</v>
      </c>
      <c r="C45" s="12" t="s">
        <v>16</v>
      </c>
      <c r="D45" s="13">
        <v>360</v>
      </c>
    </row>
    <row r="46" spans="1:4">
      <c r="A46" t="str">
        <f t="shared" si="0"/>
        <v>cerebrolysin60mg*10vials</v>
      </c>
      <c r="B46" s="18" t="s">
        <v>166</v>
      </c>
      <c r="C46" s="12" t="s">
        <v>22</v>
      </c>
      <c r="D46" s="13">
        <v>240</v>
      </c>
    </row>
    <row r="47" spans="1:4">
      <c r="A47" t="str">
        <f t="shared" si="0"/>
        <v>Cortagen20mg*10vials</v>
      </c>
      <c r="B47" s="18" t="s">
        <v>167</v>
      </c>
      <c r="C47" s="12" t="s">
        <v>16</v>
      </c>
      <c r="D47" s="13">
        <v>385.882352941176</v>
      </c>
    </row>
    <row r="48" spans="1:4">
      <c r="A48" t="str">
        <f t="shared" si="0"/>
        <v>Crystagen20mg*10vials</v>
      </c>
      <c r="B48" s="18" t="s">
        <v>168</v>
      </c>
      <c r="C48" s="12" t="s">
        <v>16</v>
      </c>
      <c r="D48" s="13">
        <v>268.529411764706</v>
      </c>
    </row>
    <row r="49" spans="1:4">
      <c r="A49" t="str">
        <f t="shared" si="0"/>
        <v>Dermorphin2mg*10vials</v>
      </c>
      <c r="B49" s="11" t="s">
        <v>169</v>
      </c>
      <c r="C49" s="12" t="s">
        <v>140</v>
      </c>
      <c r="D49" s="13">
        <v>114</v>
      </c>
    </row>
    <row r="50" spans="1:4">
      <c r="A50" t="str">
        <f t="shared" si="0"/>
        <v>Dermorphin10mg*10vials</v>
      </c>
      <c r="B50" s="11" t="s">
        <v>169</v>
      </c>
      <c r="C50" s="14" t="s">
        <v>12</v>
      </c>
      <c r="D50" s="13">
        <v>250</v>
      </c>
    </row>
    <row r="51" spans="1:4">
      <c r="A51" t="str">
        <f t="shared" si="0"/>
        <v>DSIP2mg*10vials</v>
      </c>
      <c r="B51" s="15" t="s">
        <v>68</v>
      </c>
      <c r="C51" s="14" t="s">
        <v>140</v>
      </c>
      <c r="D51" s="13">
        <v>114.117647058824</v>
      </c>
    </row>
    <row r="52" spans="1:4">
      <c r="A52" t="str">
        <f t="shared" si="0"/>
        <v>DSIP5mg*10vials</v>
      </c>
      <c r="B52" s="15" t="s">
        <v>68</v>
      </c>
      <c r="C52" s="14" t="s">
        <v>10</v>
      </c>
      <c r="D52" s="13">
        <v>169.705882352941</v>
      </c>
    </row>
    <row r="53" spans="1:4">
      <c r="A53" t="str">
        <f t="shared" si="0"/>
        <v>DSIP10mg*10vials</v>
      </c>
      <c r="B53" s="15" t="s">
        <v>68</v>
      </c>
      <c r="C53" s="12" t="s">
        <v>12</v>
      </c>
      <c r="D53" s="13">
        <v>270</v>
      </c>
    </row>
    <row r="54" spans="1:4">
      <c r="A54" t="str">
        <f t="shared" si="0"/>
        <v>Dulaglutide5mg*10vials</v>
      </c>
      <c r="B54" s="19" t="s">
        <v>170</v>
      </c>
      <c r="C54" s="12" t="s">
        <v>10</v>
      </c>
      <c r="D54" s="13">
        <v>590</v>
      </c>
    </row>
    <row r="55" spans="1:4">
      <c r="A55" t="str">
        <f t="shared" si="0"/>
        <v>Dulaglutide10mg*10vials</v>
      </c>
      <c r="B55" s="19" t="s">
        <v>170</v>
      </c>
      <c r="C55" s="12" t="s">
        <v>12</v>
      </c>
      <c r="D55" s="13">
        <v>1040</v>
      </c>
    </row>
    <row r="56" spans="1:4">
      <c r="A56" t="str">
        <f t="shared" si="0"/>
        <v>Epithalon10mg*10vials</v>
      </c>
      <c r="B56" s="11" t="s">
        <v>71</v>
      </c>
      <c r="C56" s="14" t="s">
        <v>12</v>
      </c>
      <c r="D56" s="13">
        <v>169.705882352941</v>
      </c>
    </row>
    <row r="57" spans="1:4">
      <c r="A57" t="str">
        <f t="shared" si="0"/>
        <v>Epithalon50mg*10vials</v>
      </c>
      <c r="B57" s="11" t="s">
        <v>71</v>
      </c>
      <c r="C57" s="14" t="s">
        <v>36</v>
      </c>
      <c r="D57" s="13">
        <v>534.117647058824</v>
      </c>
    </row>
    <row r="58" spans="1:4">
      <c r="A58" t="str">
        <f t="shared" si="0"/>
        <v>EPO3000iu *10vials</v>
      </c>
      <c r="B58" s="20" t="s">
        <v>171</v>
      </c>
      <c r="C58" s="12" t="s">
        <v>172</v>
      </c>
      <c r="D58" s="13">
        <v>240</v>
      </c>
    </row>
    <row r="59" spans="1:4">
      <c r="A59" t="str">
        <f t="shared" si="0"/>
        <v>FOX04-DRI2mg*10vials</v>
      </c>
      <c r="B59" s="11" t="s">
        <v>173</v>
      </c>
      <c r="C59" s="14" t="s">
        <v>140</v>
      </c>
      <c r="D59" s="13">
        <v>385.882352941176</v>
      </c>
    </row>
    <row r="60" spans="1:4">
      <c r="A60" t="str">
        <f t="shared" si="0"/>
        <v>FOX04-DRI10mg*10vials</v>
      </c>
      <c r="B60" s="11" t="s">
        <v>173</v>
      </c>
      <c r="C60" s="14" t="s">
        <v>12</v>
      </c>
      <c r="D60" s="13">
        <v>1140</v>
      </c>
    </row>
    <row r="61" spans="1:4">
      <c r="A61" t="str">
        <f t="shared" si="0"/>
        <v>GHK-Cu50mg*10vials</v>
      </c>
      <c r="B61" s="21" t="s">
        <v>174</v>
      </c>
      <c r="C61" s="14" t="s">
        <v>36</v>
      </c>
      <c r="D61" s="13">
        <v>120</v>
      </c>
    </row>
    <row r="62" spans="1:4">
      <c r="A62" t="str">
        <f t="shared" si="0"/>
        <v>GHK-Cu100mg*10vials</v>
      </c>
      <c r="B62" s="21" t="s">
        <v>174</v>
      </c>
      <c r="C62" s="14" t="s">
        <v>32</v>
      </c>
      <c r="D62" s="13">
        <v>150</v>
      </c>
    </row>
    <row r="63" spans="1:4">
      <c r="A63" t="str">
        <f t="shared" si="0"/>
        <v>Glutathione1500mg*10vials</v>
      </c>
      <c r="B63" s="11" t="s">
        <v>74</v>
      </c>
      <c r="C63" s="14" t="s">
        <v>75</v>
      </c>
      <c r="D63" s="13">
        <v>138.823529411765</v>
      </c>
    </row>
    <row r="64" spans="1:4">
      <c r="A64" t="str">
        <f t="shared" si="0"/>
        <v>Glutathione600mg*10vials</v>
      </c>
      <c r="B64" s="11" t="s">
        <v>74</v>
      </c>
      <c r="C64" s="14" t="s">
        <v>175</v>
      </c>
      <c r="D64" s="13">
        <v>97</v>
      </c>
    </row>
    <row r="65" spans="1:4">
      <c r="A65" t="str">
        <f t="shared" si="0"/>
        <v>Glutathione400mg*10vials</v>
      </c>
      <c r="B65" s="11" t="s">
        <v>74</v>
      </c>
      <c r="C65" s="14" t="s">
        <v>176</v>
      </c>
      <c r="D65" s="13">
        <v>82</v>
      </c>
    </row>
    <row r="66" spans="1:4">
      <c r="A66" t="str">
        <f t="shared" si="0"/>
        <v>GHRP-25mg*10vials</v>
      </c>
      <c r="B66" s="15" t="s">
        <v>177</v>
      </c>
      <c r="C66" s="14" t="s">
        <v>10</v>
      </c>
      <c r="D66" s="13">
        <v>138.823529411765</v>
      </c>
    </row>
    <row r="67" spans="1:4">
      <c r="A67" t="str">
        <f t="shared" ref="A67:A130" si="1">B67&amp;C67</f>
        <v>GHRP-210mg*10vials</v>
      </c>
      <c r="B67" s="15" t="s">
        <v>177</v>
      </c>
      <c r="C67" s="14" t="s">
        <v>12</v>
      </c>
      <c r="D67" s="13">
        <v>175.882352941176</v>
      </c>
    </row>
    <row r="68" spans="1:4">
      <c r="A68" t="str">
        <f t="shared" si="1"/>
        <v>GHRP-215mg*10vials</v>
      </c>
      <c r="B68" s="15" t="s">
        <v>177</v>
      </c>
      <c r="C68" s="14" t="s">
        <v>14</v>
      </c>
      <c r="D68" s="13">
        <v>237.647058823529</v>
      </c>
    </row>
    <row r="69" spans="1:4">
      <c r="A69" t="str">
        <f t="shared" si="1"/>
        <v>GHRP-65mg*10vials</v>
      </c>
      <c r="B69" s="15" t="s">
        <v>178</v>
      </c>
      <c r="C69" s="14" t="s">
        <v>10</v>
      </c>
      <c r="D69" s="13">
        <v>138.823529411765</v>
      </c>
    </row>
    <row r="70" spans="1:4">
      <c r="A70" t="str">
        <f t="shared" si="1"/>
        <v>GHRP-610mg*10vials</v>
      </c>
      <c r="B70" s="15" t="s">
        <v>178</v>
      </c>
      <c r="C70" s="14" t="s">
        <v>12</v>
      </c>
      <c r="D70" s="13">
        <v>175.882352941176</v>
      </c>
    </row>
    <row r="71" ht="28.5" customHeight="1" spans="1:4">
      <c r="A71" t="str">
        <f t="shared" si="1"/>
        <v>Gonadorelin Acetate2mg*10vials</v>
      </c>
      <c r="B71" s="15" t="s">
        <v>179</v>
      </c>
      <c r="C71" s="14" t="s">
        <v>140</v>
      </c>
      <c r="D71" s="13">
        <v>114.117647058824</v>
      </c>
    </row>
    <row r="72" ht="28.5" customHeight="1" spans="1:4">
      <c r="A72" t="str">
        <f t="shared" si="1"/>
        <v>Gonadorelin Acetate5mg*10vials</v>
      </c>
      <c r="B72" s="15" t="s">
        <v>179</v>
      </c>
      <c r="C72" s="14" t="s">
        <v>10</v>
      </c>
      <c r="D72" s="13">
        <v>178</v>
      </c>
    </row>
    <row r="73" spans="1:4">
      <c r="A73" t="str">
        <f t="shared" si="1"/>
        <v>HCG1000iu*10vials</v>
      </c>
      <c r="B73" s="22" t="s">
        <v>84</v>
      </c>
      <c r="C73" s="14" t="s">
        <v>180</v>
      </c>
      <c r="D73" s="13">
        <v>135</v>
      </c>
    </row>
    <row r="74" spans="1:4">
      <c r="A74" t="str">
        <f t="shared" si="1"/>
        <v>HCG2000iu*10vials</v>
      </c>
      <c r="B74" s="22" t="s">
        <v>84</v>
      </c>
      <c r="C74" s="14" t="s">
        <v>181</v>
      </c>
      <c r="D74" s="13">
        <v>163.529411764706</v>
      </c>
    </row>
    <row r="75" spans="1:4">
      <c r="A75" t="str">
        <f t="shared" si="1"/>
        <v>HCG5000iu*10vials</v>
      </c>
      <c r="B75" s="22" t="s">
        <v>84</v>
      </c>
      <c r="C75" s="14" t="s">
        <v>85</v>
      </c>
      <c r="D75" s="13">
        <v>293.235294117647</v>
      </c>
    </row>
    <row r="76" spans="1:4">
      <c r="A76" t="str">
        <f t="shared" si="1"/>
        <v>HCG10000iu*10vials</v>
      </c>
      <c r="B76" s="22" t="s">
        <v>84</v>
      </c>
      <c r="C76" s="14" t="s">
        <v>182</v>
      </c>
      <c r="D76" s="13">
        <v>500</v>
      </c>
    </row>
    <row r="77" spans="1:4">
      <c r="A77" t="str">
        <f t="shared" si="1"/>
        <v>HMG75iu*10vials</v>
      </c>
      <c r="B77" s="15" t="s">
        <v>183</v>
      </c>
      <c r="C77" s="14" t="s">
        <v>184</v>
      </c>
      <c r="D77" s="13">
        <v>225.294117647059</v>
      </c>
    </row>
    <row r="78" spans="1:4">
      <c r="A78" t="str">
        <f t="shared" si="1"/>
        <v>HGH6iu*10vials</v>
      </c>
      <c r="B78" s="23" t="s">
        <v>185</v>
      </c>
      <c r="C78" s="14" t="s">
        <v>186</v>
      </c>
      <c r="D78" s="13">
        <v>175.882352941176</v>
      </c>
    </row>
    <row r="79" spans="1:4">
      <c r="A79" t="str">
        <f t="shared" si="1"/>
        <v>HGH8iu*10vials</v>
      </c>
      <c r="B79" s="23" t="s">
        <v>185</v>
      </c>
      <c r="C79" s="14" t="s">
        <v>187</v>
      </c>
      <c r="D79" s="13">
        <v>200.588235294117</v>
      </c>
    </row>
    <row r="80" spans="1:4">
      <c r="A80" t="str">
        <f t="shared" si="1"/>
        <v>HGH10iu*10vials</v>
      </c>
      <c r="B80" s="23" t="s">
        <v>185</v>
      </c>
      <c r="C80" s="14" t="s">
        <v>78</v>
      </c>
      <c r="D80" s="13">
        <v>225.294117647059</v>
      </c>
    </row>
    <row r="81" spans="1:4">
      <c r="A81" t="str">
        <f t="shared" si="1"/>
        <v>HGH12iu*10vials</v>
      </c>
      <c r="B81" s="23" t="s">
        <v>185</v>
      </c>
      <c r="C81" s="14" t="s">
        <v>188</v>
      </c>
      <c r="D81" s="13">
        <v>274.705882352941</v>
      </c>
    </row>
    <row r="82" spans="1:4">
      <c r="A82" t="str">
        <f t="shared" si="1"/>
        <v>HGH15iu*10vials</v>
      </c>
      <c r="B82" s="23" t="s">
        <v>185</v>
      </c>
      <c r="C82" s="14" t="s">
        <v>189</v>
      </c>
      <c r="D82" s="13">
        <v>336.470588235294</v>
      </c>
    </row>
    <row r="83" spans="1:4">
      <c r="A83" t="str">
        <f t="shared" si="1"/>
        <v>HGH24iu*10vials</v>
      </c>
      <c r="B83" s="23" t="s">
        <v>185</v>
      </c>
      <c r="C83" s="14" t="s">
        <v>80</v>
      </c>
      <c r="D83" s="13">
        <v>484.705882352941</v>
      </c>
    </row>
    <row r="84" spans="1:4">
      <c r="A84" t="str">
        <f t="shared" si="1"/>
        <v>HGH36iu*10vials</v>
      </c>
      <c r="B84" s="23" t="s">
        <v>185</v>
      </c>
      <c r="C84" s="14" t="s">
        <v>82</v>
      </c>
      <c r="D84" s="13">
        <v>690</v>
      </c>
    </row>
    <row r="85" spans="1:4">
      <c r="A85" t="str">
        <f t="shared" si="1"/>
        <v>HGH40iu*10vials</v>
      </c>
      <c r="B85" s="23" t="s">
        <v>185</v>
      </c>
      <c r="C85" s="14" t="s">
        <v>190</v>
      </c>
      <c r="D85" s="13">
        <v>740</v>
      </c>
    </row>
    <row r="86" ht="28.5" customHeight="1" spans="1:4">
      <c r="A86" t="str">
        <f t="shared" si="1"/>
        <v>HGH Fragment 176-1911mg*10vials</v>
      </c>
      <c r="B86" s="11" t="s">
        <v>191</v>
      </c>
      <c r="C86" s="14" t="s">
        <v>93</v>
      </c>
      <c r="D86" s="13">
        <v>132.647058823529</v>
      </c>
    </row>
    <row r="87" ht="28.5" customHeight="1" spans="1:4">
      <c r="A87" t="str">
        <f t="shared" si="1"/>
        <v>HGH Fragment 176-1912mg*10vials</v>
      </c>
      <c r="B87" s="11" t="s">
        <v>191</v>
      </c>
      <c r="C87" s="14" t="s">
        <v>140</v>
      </c>
      <c r="D87" s="13">
        <v>175.882352941176</v>
      </c>
    </row>
    <row r="88" ht="28.5" customHeight="1" spans="1:4">
      <c r="A88" t="str">
        <f t="shared" si="1"/>
        <v>HGH Fragment 176-1915mg*10vials</v>
      </c>
      <c r="B88" s="11" t="s">
        <v>191</v>
      </c>
      <c r="C88" s="14" t="s">
        <v>10</v>
      </c>
      <c r="D88" s="13">
        <v>336.470588235294</v>
      </c>
    </row>
    <row r="89" ht="28.5" customHeight="1" spans="1:4">
      <c r="A89" t="str">
        <f t="shared" si="1"/>
        <v>HGH Fragment 176-19110mg*10vials</v>
      </c>
      <c r="B89" s="11" t="s">
        <v>191</v>
      </c>
      <c r="C89" s="14" t="s">
        <v>12</v>
      </c>
      <c r="D89" s="13">
        <v>590</v>
      </c>
    </row>
    <row r="90" ht="28.5" customHeight="1" spans="1:4">
      <c r="A90" t="str">
        <f t="shared" si="1"/>
        <v>HGH Fragment 176-19112mg*10vials</v>
      </c>
      <c r="B90" s="11" t="s">
        <v>191</v>
      </c>
      <c r="C90" s="14" t="s">
        <v>192</v>
      </c>
      <c r="D90" s="13">
        <v>660</v>
      </c>
    </row>
    <row r="91" ht="28.5" customHeight="1" spans="1:4">
      <c r="A91" t="str">
        <f t="shared" si="1"/>
        <v>HGH Fragment 176-19115mg*10vials</v>
      </c>
      <c r="B91" s="11" t="s">
        <v>191</v>
      </c>
      <c r="C91" s="14" t="s">
        <v>14</v>
      </c>
      <c r="D91" s="13">
        <v>820</v>
      </c>
    </row>
    <row r="92" spans="1:4">
      <c r="A92" t="str">
        <f t="shared" si="1"/>
        <v>HGH Fragment 176-191</v>
      </c>
      <c r="B92" s="11" t="s">
        <v>191</v>
      </c>
      <c r="C92" s="14"/>
      <c r="D92" s="13"/>
    </row>
    <row r="93" spans="1:4">
      <c r="A93" t="str">
        <f t="shared" si="1"/>
        <v>Hexarelin Acetate2mg*10vials</v>
      </c>
      <c r="B93" s="11" t="s">
        <v>193</v>
      </c>
      <c r="C93" s="14" t="s">
        <v>140</v>
      </c>
      <c r="D93" s="13">
        <v>182.058823529412</v>
      </c>
    </row>
    <row r="94" spans="1:4">
      <c r="A94" t="str">
        <f t="shared" si="1"/>
        <v>Hexarelin Acetate5mg*10vials</v>
      </c>
      <c r="B94" s="11" t="s">
        <v>193</v>
      </c>
      <c r="C94" s="14" t="s">
        <v>10</v>
      </c>
      <c r="D94" s="13">
        <v>398.235294117647</v>
      </c>
    </row>
    <row r="95" spans="1:4">
      <c r="A95" t="str">
        <f t="shared" si="1"/>
        <v>Humanin10mg*10vials</v>
      </c>
      <c r="B95" s="15" t="s">
        <v>194</v>
      </c>
      <c r="C95" s="14" t="s">
        <v>12</v>
      </c>
      <c r="D95" s="13">
        <v>1060</v>
      </c>
    </row>
    <row r="96" spans="1:4">
      <c r="A96" t="str">
        <f t="shared" si="1"/>
        <v>Ipamorelin2mg*10vials</v>
      </c>
      <c r="B96" s="15" t="s">
        <v>87</v>
      </c>
      <c r="C96" s="14" t="s">
        <v>140</v>
      </c>
      <c r="D96" s="13">
        <v>101.764705882353</v>
      </c>
    </row>
    <row r="97" spans="1:4">
      <c r="A97" t="str">
        <f t="shared" si="1"/>
        <v>Ipamorelin5mg*10vials</v>
      </c>
      <c r="B97" s="15" t="s">
        <v>87</v>
      </c>
      <c r="C97" s="14" t="s">
        <v>10</v>
      </c>
      <c r="D97" s="13">
        <v>145</v>
      </c>
    </row>
    <row r="98" spans="1:4">
      <c r="A98" t="str">
        <f t="shared" si="1"/>
        <v>Ipamorelin10mg*10vials</v>
      </c>
      <c r="B98" s="15" t="s">
        <v>87</v>
      </c>
      <c r="C98" s="14" t="s">
        <v>12</v>
      </c>
      <c r="D98" s="13">
        <v>206.764705882353</v>
      </c>
    </row>
    <row r="99" spans="1:4">
      <c r="A99" t="str">
        <f t="shared" si="1"/>
        <v>Kisspetin-105mg*10vials</v>
      </c>
      <c r="B99" s="15" t="s">
        <v>195</v>
      </c>
      <c r="C99" s="14" t="s">
        <v>10</v>
      </c>
      <c r="D99" s="13">
        <v>175.882352941176</v>
      </c>
    </row>
    <row r="100" spans="1:4">
      <c r="A100" t="str">
        <f t="shared" si="1"/>
        <v>Kisspetin-1010mg*10vials</v>
      </c>
      <c r="B100" s="15" t="s">
        <v>195</v>
      </c>
      <c r="C100" s="14" t="s">
        <v>12</v>
      </c>
      <c r="D100" s="13">
        <v>287.058823529412</v>
      </c>
    </row>
    <row r="101" spans="1:4">
      <c r="A101" t="str">
        <f t="shared" si="1"/>
        <v>Liraglutide5mg*10vials</v>
      </c>
      <c r="B101" s="11" t="s">
        <v>196</v>
      </c>
      <c r="C101" s="14" t="s">
        <v>10</v>
      </c>
      <c r="D101" s="13">
        <v>324.117647058824</v>
      </c>
    </row>
    <row r="102" spans="1:4">
      <c r="A102" t="str">
        <f t="shared" si="1"/>
        <v>Liraglutide10mg*10vials</v>
      </c>
      <c r="B102" s="11" t="s">
        <v>196</v>
      </c>
      <c r="C102" s="14" t="s">
        <v>12</v>
      </c>
      <c r="D102" s="13">
        <v>571.176470588235</v>
      </c>
    </row>
    <row r="103" spans="1:4">
      <c r="A103" t="str">
        <f t="shared" si="1"/>
        <v>Liraglutide30mg*10vials</v>
      </c>
      <c r="B103" s="11" t="s">
        <v>196</v>
      </c>
      <c r="C103" s="14" t="s">
        <v>18</v>
      </c>
      <c r="D103" s="13">
        <v>1690</v>
      </c>
    </row>
    <row r="104" spans="1:4">
      <c r="A104" t="str">
        <f t="shared" si="1"/>
        <v>LL375mg*10vials</v>
      </c>
      <c r="B104" s="15" t="s">
        <v>197</v>
      </c>
      <c r="C104" s="14" t="s">
        <v>10</v>
      </c>
      <c r="D104" s="13">
        <v>398.235294117647</v>
      </c>
    </row>
    <row r="105" spans="1:4">
      <c r="A105" t="str">
        <f t="shared" si="1"/>
        <v>MelanotanI10mg*10vials</v>
      </c>
      <c r="B105" s="15" t="s">
        <v>198</v>
      </c>
      <c r="C105" s="14" t="s">
        <v>12</v>
      </c>
      <c r="D105" s="13">
        <v>200.588235294117</v>
      </c>
    </row>
    <row r="106" spans="1:4">
      <c r="A106" t="str">
        <f t="shared" si="1"/>
        <v>Melanotan Il10mg*10vials</v>
      </c>
      <c r="B106" s="15" t="s">
        <v>199</v>
      </c>
      <c r="C106" s="14" t="s">
        <v>12</v>
      </c>
      <c r="D106" s="13">
        <v>200.588235294117</v>
      </c>
    </row>
    <row r="107" spans="1:4">
      <c r="A107" t="str">
        <f t="shared" si="1"/>
        <v>Melatonin10mg*10vials</v>
      </c>
      <c r="B107" s="15" t="s">
        <v>200</v>
      </c>
      <c r="C107" s="14" t="s">
        <v>12</v>
      </c>
      <c r="D107" s="13">
        <v>220</v>
      </c>
    </row>
    <row r="108" spans="1:4">
      <c r="A108" t="str">
        <f t="shared" si="1"/>
        <v>MGF2mg*10vials</v>
      </c>
      <c r="B108" s="15" t="s">
        <v>201</v>
      </c>
      <c r="C108" s="14" t="s">
        <v>140</v>
      </c>
      <c r="D108" s="13">
        <v>240</v>
      </c>
    </row>
    <row r="109" spans="1:4">
      <c r="A109" t="str">
        <f t="shared" si="1"/>
        <v>MOTS-c (Human)10mg*10vials</v>
      </c>
      <c r="B109" s="15" t="s">
        <v>202</v>
      </c>
      <c r="C109" s="14" t="s">
        <v>12</v>
      </c>
      <c r="D109" s="13">
        <v>274.705882352941</v>
      </c>
    </row>
    <row r="110" spans="1:4">
      <c r="A110" t="str">
        <f t="shared" si="1"/>
        <v>MOTS-c (Human)15mg*10vials</v>
      </c>
      <c r="B110" s="15" t="s">
        <v>202</v>
      </c>
      <c r="C110" s="14" t="s">
        <v>14</v>
      </c>
      <c r="D110" s="13">
        <v>430</v>
      </c>
    </row>
    <row r="111" spans="1:4">
      <c r="A111" t="str">
        <f t="shared" si="1"/>
        <v>MOTS-c (Human)20mg*10vials</v>
      </c>
      <c r="B111" s="15" t="s">
        <v>202</v>
      </c>
      <c r="C111" s="14" t="s">
        <v>16</v>
      </c>
      <c r="D111" s="13">
        <v>490</v>
      </c>
    </row>
    <row r="112" spans="1:4">
      <c r="A112" t="str">
        <f t="shared" si="1"/>
        <v>MOTS-c (Human)40mg*10vials</v>
      </c>
      <c r="B112" s="15" t="s">
        <v>202</v>
      </c>
      <c r="C112" s="14" t="s">
        <v>20</v>
      </c>
      <c r="D112" s="13">
        <v>941.764705882354</v>
      </c>
    </row>
    <row r="113" spans="1:4">
      <c r="A113" t="str">
        <f t="shared" si="1"/>
        <v>Nad+100mg*10vials</v>
      </c>
      <c r="B113" s="21" t="s">
        <v>203</v>
      </c>
      <c r="C113" s="14" t="s">
        <v>32</v>
      </c>
      <c r="D113" s="13">
        <v>150</v>
      </c>
    </row>
    <row r="114" spans="1:4">
      <c r="A114" t="str">
        <f t="shared" si="1"/>
        <v>Nad+500mg*10vials</v>
      </c>
      <c r="B114" s="21" t="s">
        <v>203</v>
      </c>
      <c r="C114" s="14" t="s">
        <v>108</v>
      </c>
      <c r="D114" s="13">
        <v>200</v>
      </c>
    </row>
    <row r="115" spans="1:4">
      <c r="A115" t="str">
        <f t="shared" si="1"/>
        <v>Nad+1000mg*10vials</v>
      </c>
      <c r="B115" s="21" t="s">
        <v>203</v>
      </c>
      <c r="C115" s="14" t="s">
        <v>110</v>
      </c>
      <c r="D115" s="13">
        <v>280</v>
      </c>
    </row>
    <row r="116" spans="1:4">
      <c r="A116" t="str">
        <f t="shared" si="1"/>
        <v>Oxytocin Acetate2mg*10vials</v>
      </c>
      <c r="B116" s="11" t="s">
        <v>204</v>
      </c>
      <c r="C116" s="14" t="s">
        <v>140</v>
      </c>
      <c r="D116" s="13">
        <v>101.764705882353</v>
      </c>
    </row>
    <row r="117" spans="1:4">
      <c r="A117" t="str">
        <f t="shared" si="1"/>
        <v>Oxytocin Acetate5mg*10vials</v>
      </c>
      <c r="B117" s="11" t="s">
        <v>204</v>
      </c>
      <c r="C117" s="14" t="s">
        <v>10</v>
      </c>
      <c r="D117" s="13">
        <v>150</v>
      </c>
    </row>
    <row r="118" spans="1:4">
      <c r="A118" t="str">
        <f t="shared" si="1"/>
        <v>Oxytocin Acetate10mg*10vials</v>
      </c>
      <c r="B118" s="11" t="s">
        <v>204</v>
      </c>
      <c r="C118" s="14" t="s">
        <v>12</v>
      </c>
      <c r="D118" s="13">
        <v>220</v>
      </c>
    </row>
    <row r="119" spans="1:4">
      <c r="A119" t="str">
        <f t="shared" si="1"/>
        <v>PEG MGF2mg*10vials</v>
      </c>
      <c r="B119" s="15" t="s">
        <v>205</v>
      </c>
      <c r="C119" s="14" t="s">
        <v>140</v>
      </c>
      <c r="D119" s="13">
        <v>330</v>
      </c>
    </row>
    <row r="120" spans="1:4">
      <c r="A120" t="str">
        <f t="shared" si="1"/>
        <v>PE-22-285mg*10vials</v>
      </c>
      <c r="B120" s="11" t="s">
        <v>206</v>
      </c>
      <c r="C120" s="14" t="s">
        <v>10</v>
      </c>
      <c r="D120" s="13">
        <v>151</v>
      </c>
    </row>
    <row r="121" spans="1:4">
      <c r="A121" t="str">
        <f t="shared" si="1"/>
        <v>PE-22-2810mg*10vials</v>
      </c>
      <c r="B121" s="11" t="s">
        <v>206</v>
      </c>
      <c r="C121" s="14" t="s">
        <v>12</v>
      </c>
      <c r="D121" s="13">
        <v>287.058823529412</v>
      </c>
    </row>
    <row r="122" spans="1:4">
      <c r="A122" t="str">
        <f t="shared" si="1"/>
        <v>PNC-275mg*10vials</v>
      </c>
      <c r="B122" s="15" t="s">
        <v>207</v>
      </c>
      <c r="C122" s="14" t="s">
        <v>10</v>
      </c>
      <c r="D122" s="13">
        <v>349</v>
      </c>
    </row>
    <row r="123" spans="1:4">
      <c r="A123" t="str">
        <f t="shared" si="1"/>
        <v>PT14110mg*10vials</v>
      </c>
      <c r="B123" s="15" t="s">
        <v>208</v>
      </c>
      <c r="C123" s="14" t="s">
        <v>12</v>
      </c>
      <c r="D123" s="13">
        <v>250</v>
      </c>
    </row>
    <row r="124" spans="1:4">
      <c r="A124" t="str">
        <f t="shared" si="1"/>
        <v>Retatrutide5mg*10vials</v>
      </c>
      <c r="B124" s="23" t="s">
        <v>9</v>
      </c>
      <c r="C124" s="14" t="s">
        <v>10</v>
      </c>
      <c r="D124" s="13">
        <v>225.294117647059</v>
      </c>
    </row>
    <row r="125" spans="1:4">
      <c r="A125" t="str">
        <f t="shared" si="1"/>
        <v>Retatrutide10mg*10vials</v>
      </c>
      <c r="B125" s="23" t="s">
        <v>9</v>
      </c>
      <c r="C125" s="14" t="s">
        <v>12</v>
      </c>
      <c r="D125" s="13">
        <v>370</v>
      </c>
    </row>
    <row r="126" spans="1:4">
      <c r="A126" t="str">
        <f t="shared" si="1"/>
        <v>Retatrutide15mg*10vials</v>
      </c>
      <c r="B126" s="23" t="s">
        <v>9</v>
      </c>
      <c r="C126" s="14" t="s">
        <v>14</v>
      </c>
      <c r="D126" s="13">
        <v>500</v>
      </c>
    </row>
    <row r="127" spans="1:4">
      <c r="A127" t="str">
        <f t="shared" si="1"/>
        <v>Retatrutide20mg*10vials</v>
      </c>
      <c r="B127" s="23" t="s">
        <v>9</v>
      </c>
      <c r="C127" s="14" t="s">
        <v>16</v>
      </c>
      <c r="D127" s="13">
        <v>558</v>
      </c>
    </row>
    <row r="128" spans="1:4">
      <c r="A128" t="str">
        <f t="shared" si="1"/>
        <v>Retatrutide30mg*10vials</v>
      </c>
      <c r="B128" s="23" t="s">
        <v>9</v>
      </c>
      <c r="C128" s="14" t="s">
        <v>18</v>
      </c>
      <c r="D128" s="13">
        <v>680</v>
      </c>
    </row>
    <row r="129" spans="1:4">
      <c r="A129" t="str">
        <f t="shared" si="1"/>
        <v>Retatrutide50mg*10vials</v>
      </c>
      <c r="B129" s="23" t="s">
        <v>9</v>
      </c>
      <c r="C129" s="14" t="s">
        <v>36</v>
      </c>
      <c r="D129" s="13">
        <v>1100</v>
      </c>
    </row>
    <row r="130" spans="1:4">
      <c r="A130" t="str">
        <f t="shared" si="1"/>
        <v>Retatrutide60mg*10vials</v>
      </c>
      <c r="B130" s="23" t="s">
        <v>9</v>
      </c>
      <c r="C130" s="14" t="s">
        <v>22</v>
      </c>
      <c r="D130" s="13">
        <v>1400</v>
      </c>
    </row>
    <row r="131" spans="1:4">
      <c r="A131" t="str">
        <f t="shared" ref="A131:A194" si="2">B131&amp;C131</f>
        <v>Semaglutide2mg*10vials</v>
      </c>
      <c r="B131" s="23" t="s">
        <v>209</v>
      </c>
      <c r="C131" s="14" t="s">
        <v>140</v>
      </c>
      <c r="D131" s="13">
        <v>93.1176470588235</v>
      </c>
    </row>
    <row r="132" spans="1:4">
      <c r="A132" t="str">
        <f t="shared" si="2"/>
        <v>Semaglutide5mg*10vials</v>
      </c>
      <c r="B132" s="23" t="s">
        <v>209</v>
      </c>
      <c r="C132" s="14" t="s">
        <v>10</v>
      </c>
      <c r="D132" s="13">
        <v>122.764705882353</v>
      </c>
    </row>
    <row r="133" spans="1:4">
      <c r="A133" t="str">
        <f t="shared" si="2"/>
        <v>Semaglutide10mg*10vials</v>
      </c>
      <c r="B133" s="23" t="s">
        <v>209</v>
      </c>
      <c r="C133" s="14" t="s">
        <v>12</v>
      </c>
      <c r="D133" s="13">
        <v>169.705882352941</v>
      </c>
    </row>
    <row r="134" spans="1:4">
      <c r="A134" t="str">
        <f t="shared" si="2"/>
        <v>Semaglutide15mg*10vials</v>
      </c>
      <c r="B134" s="23" t="s">
        <v>209</v>
      </c>
      <c r="C134" s="14" t="s">
        <v>14</v>
      </c>
      <c r="D134" s="13">
        <v>219.117647058824</v>
      </c>
    </row>
    <row r="135" spans="1:4">
      <c r="A135" t="str">
        <f t="shared" si="2"/>
        <v>Semaglutide20mg*10vials</v>
      </c>
      <c r="B135" s="23" t="s">
        <v>209</v>
      </c>
      <c r="C135" s="14" t="s">
        <v>16</v>
      </c>
      <c r="D135" s="13">
        <v>268.529411764706</v>
      </c>
    </row>
    <row r="136" spans="1:4">
      <c r="A136" t="str">
        <f t="shared" si="2"/>
        <v>Semaglutide50mg*10vials</v>
      </c>
      <c r="B136" s="23" t="s">
        <v>209</v>
      </c>
      <c r="C136" s="14" t="s">
        <v>36</v>
      </c>
      <c r="D136" s="13">
        <v>472</v>
      </c>
    </row>
    <row r="137" spans="1:4">
      <c r="A137" t="str">
        <f t="shared" si="2"/>
        <v>Sermorelin Acetate2mg*10vials</v>
      </c>
      <c r="B137" s="11" t="s">
        <v>118</v>
      </c>
      <c r="C137" s="14" t="s">
        <v>140</v>
      </c>
      <c r="D137" s="13">
        <v>163.529411764706</v>
      </c>
    </row>
    <row r="138" spans="1:4">
      <c r="A138" t="str">
        <f t="shared" si="2"/>
        <v>Sermorelin Acetate5mg*10vials</v>
      </c>
      <c r="B138" s="11" t="s">
        <v>118</v>
      </c>
      <c r="C138" s="14" t="s">
        <v>10</v>
      </c>
      <c r="D138" s="13">
        <v>287.058823529412</v>
      </c>
    </row>
    <row r="139" ht="28.5" customHeight="1" spans="1:4">
      <c r="A139" t="str">
        <f t="shared" si="2"/>
        <v>Sermorelin Acetate10mg*10vials</v>
      </c>
      <c r="B139" s="11" t="s">
        <v>118</v>
      </c>
      <c r="C139" s="14" t="s">
        <v>12</v>
      </c>
      <c r="D139" s="13">
        <v>490</v>
      </c>
    </row>
    <row r="140" spans="1:4">
      <c r="A140" t="str">
        <f t="shared" si="2"/>
        <v>Snap810mg*10vials</v>
      </c>
      <c r="B140" s="11" t="s">
        <v>210</v>
      </c>
      <c r="C140" s="14" t="s">
        <v>12</v>
      </c>
      <c r="D140" s="13">
        <v>138.823529411765</v>
      </c>
    </row>
    <row r="141" spans="1:4">
      <c r="A141" t="str">
        <f t="shared" si="2"/>
        <v>Snap8100mg*10vials</v>
      </c>
      <c r="B141" s="11" t="s">
        <v>210</v>
      </c>
      <c r="C141" s="14" t="s">
        <v>32</v>
      </c>
      <c r="D141" s="13">
        <v>740</v>
      </c>
    </row>
    <row r="142" spans="1:4">
      <c r="A142" t="str">
        <f t="shared" si="2"/>
        <v>KPV5mg*10vials</v>
      </c>
      <c r="B142" s="15" t="s">
        <v>211</v>
      </c>
      <c r="C142" s="14" t="s">
        <v>10</v>
      </c>
      <c r="D142" s="13">
        <v>145</v>
      </c>
    </row>
    <row r="143" spans="1:4">
      <c r="A143" t="str">
        <f t="shared" si="2"/>
        <v>KPV10mg*10vials</v>
      </c>
      <c r="B143" s="15" t="s">
        <v>211</v>
      </c>
      <c r="C143" s="14" t="s">
        <v>12</v>
      </c>
      <c r="D143" s="13">
        <v>188.235294117647</v>
      </c>
    </row>
    <row r="144" spans="1:4">
      <c r="A144" t="str">
        <f t="shared" si="2"/>
        <v>Selank5mg*10vials</v>
      </c>
      <c r="B144" s="15" t="s">
        <v>116</v>
      </c>
      <c r="C144" s="14" t="s">
        <v>10</v>
      </c>
      <c r="D144" s="13">
        <v>145</v>
      </c>
    </row>
    <row r="145" spans="1:4">
      <c r="A145" t="str">
        <f t="shared" si="2"/>
        <v>Selank10mg*10vials</v>
      </c>
      <c r="B145" s="15" t="s">
        <v>116</v>
      </c>
      <c r="C145" s="14" t="s">
        <v>12</v>
      </c>
      <c r="D145" s="13">
        <v>206.764705882353</v>
      </c>
    </row>
    <row r="146" spans="1:4">
      <c r="A146" t="str">
        <f t="shared" si="2"/>
        <v>Semax5mg*10vials</v>
      </c>
      <c r="B146" s="11" t="s">
        <v>212</v>
      </c>
      <c r="C146" s="14" t="s">
        <v>10</v>
      </c>
      <c r="D146" s="13">
        <v>145</v>
      </c>
    </row>
    <row r="147" spans="1:4">
      <c r="A147" t="str">
        <f t="shared" si="2"/>
        <v>Semax10mg*10vials</v>
      </c>
      <c r="B147" s="11" t="s">
        <v>212</v>
      </c>
      <c r="C147" s="14" t="s">
        <v>12</v>
      </c>
      <c r="D147" s="13">
        <v>206.764705882353</v>
      </c>
    </row>
    <row r="148" spans="1:4">
      <c r="A148" t="str">
        <f t="shared" si="2"/>
        <v>SS·315mg*10vials</v>
      </c>
      <c r="B148" s="24" t="s">
        <v>213</v>
      </c>
      <c r="C148" s="14" t="s">
        <v>10</v>
      </c>
      <c r="D148" s="13">
        <v>190</v>
      </c>
    </row>
    <row r="149" spans="1:4">
      <c r="A149" t="str">
        <f t="shared" si="2"/>
        <v>SS·3110mg*10vials</v>
      </c>
      <c r="B149" s="24" t="s">
        <v>213</v>
      </c>
      <c r="C149" s="14" t="s">
        <v>12</v>
      </c>
      <c r="D149" s="13">
        <v>311.764705882353</v>
      </c>
    </row>
    <row r="150" spans="1:4">
      <c r="A150" t="str">
        <f t="shared" si="2"/>
        <v>SS·3150mg*10vials</v>
      </c>
      <c r="B150" s="24" t="s">
        <v>213</v>
      </c>
      <c r="C150" s="14" t="s">
        <v>36</v>
      </c>
      <c r="D150" s="13">
        <v>1176.47058823529</v>
      </c>
    </row>
    <row r="151" spans="1:4">
      <c r="A151" t="str">
        <f t="shared" si="2"/>
        <v>TB5002mg*10vials</v>
      </c>
      <c r="B151" s="11" t="s">
        <v>214</v>
      </c>
      <c r="C151" s="14" t="s">
        <v>140</v>
      </c>
      <c r="D151" s="13">
        <v>175.882352941176</v>
      </c>
    </row>
    <row r="152" spans="1:4">
      <c r="A152" t="str">
        <f t="shared" si="2"/>
        <v>TB5005mg*10vials</v>
      </c>
      <c r="B152" s="11" t="s">
        <v>214</v>
      </c>
      <c r="C152" s="14" t="s">
        <v>10</v>
      </c>
      <c r="D152" s="13">
        <v>311.764705882353</v>
      </c>
    </row>
    <row r="153" spans="1:4">
      <c r="A153" t="str">
        <f t="shared" si="2"/>
        <v>TB50010mg*10vials</v>
      </c>
      <c r="B153" s="11" t="s">
        <v>214</v>
      </c>
      <c r="C153" s="14" t="s">
        <v>12</v>
      </c>
      <c r="D153" s="13">
        <v>571.176470588235</v>
      </c>
    </row>
    <row r="154" spans="1:4">
      <c r="A154" t="str">
        <f t="shared" si="2"/>
        <v>TB Frag2mg*10vials</v>
      </c>
      <c r="B154" s="24" t="s">
        <v>215</v>
      </c>
      <c r="C154" s="14" t="s">
        <v>140</v>
      </c>
      <c r="D154" s="13">
        <v>135</v>
      </c>
    </row>
    <row r="155" spans="1:4">
      <c r="A155" t="str">
        <f t="shared" si="2"/>
        <v>TB Frag5mg*10vials</v>
      </c>
      <c r="B155" s="24" t="s">
        <v>215</v>
      </c>
      <c r="C155" s="14" t="s">
        <v>10</v>
      </c>
      <c r="D155" s="13">
        <v>190</v>
      </c>
    </row>
    <row r="156" spans="1:4">
      <c r="A156" t="str">
        <f t="shared" si="2"/>
        <v>TB Frag10mg*10vials</v>
      </c>
      <c r="B156" s="24" t="s">
        <v>215</v>
      </c>
      <c r="C156" s="14" t="s">
        <v>12</v>
      </c>
      <c r="D156" s="13">
        <v>290</v>
      </c>
    </row>
    <row r="157" spans="1:4">
      <c r="A157" t="str">
        <f t="shared" si="2"/>
        <v>Tesamorelin2mg*10vials</v>
      </c>
      <c r="B157" s="11" t="s">
        <v>124</v>
      </c>
      <c r="C157" s="14" t="s">
        <v>140</v>
      </c>
      <c r="D157" s="13">
        <v>212.941176470588</v>
      </c>
    </row>
    <row r="158" spans="1:4">
      <c r="A158" t="str">
        <f t="shared" si="2"/>
        <v>Tesamorelin5mg*10vials</v>
      </c>
      <c r="B158" s="11" t="s">
        <v>124</v>
      </c>
      <c r="C158" s="14" t="s">
        <v>10</v>
      </c>
      <c r="D158" s="13">
        <v>385.882352941176</v>
      </c>
    </row>
    <row r="159" spans="1:4">
      <c r="A159" t="str">
        <f t="shared" si="2"/>
        <v>Tesamorelin10mg*10vials</v>
      </c>
      <c r="B159" s="11" t="s">
        <v>124</v>
      </c>
      <c r="C159" s="14" t="s">
        <v>12</v>
      </c>
      <c r="D159" s="13">
        <v>731.764705882354</v>
      </c>
    </row>
    <row r="160" spans="1:4">
      <c r="A160" t="str">
        <f t="shared" si="2"/>
        <v>Tesamorelin20mg*10vials</v>
      </c>
      <c r="B160" s="11" t="s">
        <v>124</v>
      </c>
      <c r="C160" s="14" t="s">
        <v>16</v>
      </c>
      <c r="D160" s="13">
        <v>1275.29411764706</v>
      </c>
    </row>
    <row r="161" spans="1:4">
      <c r="A161" t="str">
        <f t="shared" si="2"/>
        <v>Tesa10+ip515mg*10vials</v>
      </c>
      <c r="B161" s="24" t="s">
        <v>216</v>
      </c>
      <c r="C161" s="14" t="s">
        <v>14</v>
      </c>
      <c r="D161" s="13">
        <v>860</v>
      </c>
    </row>
    <row r="162" spans="1:4">
      <c r="A162" t="str">
        <f t="shared" si="2"/>
        <v>Tirzepatide2mg*10vials</v>
      </c>
      <c r="B162" s="23" t="s">
        <v>24</v>
      </c>
      <c r="C162" s="14" t="s">
        <v>140</v>
      </c>
      <c r="D162" s="13">
        <v>140</v>
      </c>
    </row>
    <row r="163" spans="1:4">
      <c r="A163" t="str">
        <f t="shared" si="2"/>
        <v>Tirzepatide5mg*10vials</v>
      </c>
      <c r="B163" s="23" t="s">
        <v>24</v>
      </c>
      <c r="C163" s="14" t="s">
        <v>10</v>
      </c>
      <c r="D163" s="13">
        <v>145</v>
      </c>
    </row>
    <row r="164" spans="1:4">
      <c r="A164" t="str">
        <f t="shared" si="2"/>
        <v>Tirzepatide10mg*10vials</v>
      </c>
      <c r="B164" s="23" t="s">
        <v>24</v>
      </c>
      <c r="C164" s="14" t="s">
        <v>12</v>
      </c>
      <c r="D164" s="13">
        <v>206.764705882353</v>
      </c>
    </row>
    <row r="165" spans="1:4">
      <c r="A165" t="str">
        <f t="shared" si="2"/>
        <v>Tirzepatide15mg*10vials</v>
      </c>
      <c r="B165" s="23" t="s">
        <v>24</v>
      </c>
      <c r="C165" s="14" t="s">
        <v>14</v>
      </c>
      <c r="D165" s="13">
        <v>265</v>
      </c>
    </row>
    <row r="166" spans="1:4">
      <c r="A166" t="str">
        <f t="shared" si="2"/>
        <v>Tirzepatide20mg*10vials</v>
      </c>
      <c r="B166" s="23" t="s">
        <v>24</v>
      </c>
      <c r="C166" s="14" t="s">
        <v>16</v>
      </c>
      <c r="D166" s="13">
        <v>332</v>
      </c>
    </row>
    <row r="167" spans="1:4">
      <c r="A167" t="str">
        <f t="shared" si="2"/>
        <v>Tirzepatide30mg*10vials</v>
      </c>
      <c r="B167" s="23" t="s">
        <v>24</v>
      </c>
      <c r="C167" s="14" t="s">
        <v>18</v>
      </c>
      <c r="D167" s="13">
        <v>460</v>
      </c>
    </row>
    <row r="168" spans="1:4">
      <c r="A168" t="str">
        <f t="shared" si="2"/>
        <v>Tirzepatide40mg*10vials</v>
      </c>
      <c r="B168" s="23" t="s">
        <v>24</v>
      </c>
      <c r="C168" s="14" t="s">
        <v>20</v>
      </c>
      <c r="D168" s="13">
        <v>590</v>
      </c>
    </row>
    <row r="169" spans="1:4">
      <c r="A169" t="str">
        <f t="shared" si="2"/>
        <v>Tirzepatide50mg*10vials</v>
      </c>
      <c r="B169" s="23" t="s">
        <v>24</v>
      </c>
      <c r="C169" s="14" t="s">
        <v>36</v>
      </c>
      <c r="D169" s="13">
        <v>700</v>
      </c>
    </row>
    <row r="170" spans="1:4">
      <c r="A170" t="str">
        <f t="shared" si="2"/>
        <v>Tirzepatide60mg*10vials</v>
      </c>
      <c r="B170" s="23" t="s">
        <v>24</v>
      </c>
      <c r="C170" s="14" t="s">
        <v>22</v>
      </c>
      <c r="D170" s="13">
        <v>850</v>
      </c>
    </row>
    <row r="171" spans="1:4">
      <c r="A171" t="str">
        <f t="shared" si="2"/>
        <v>Tirzepatide80mg*10vials</v>
      </c>
      <c r="B171" s="23" t="s">
        <v>24</v>
      </c>
      <c r="C171" s="14" t="s">
        <v>56</v>
      </c>
      <c r="D171" s="13">
        <v>1240</v>
      </c>
    </row>
    <row r="172" spans="1:4">
      <c r="A172" t="str">
        <f t="shared" si="2"/>
        <v>Tirzepatide100mg*10vials</v>
      </c>
      <c r="B172" s="23" t="s">
        <v>24</v>
      </c>
      <c r="C172" s="14" t="s">
        <v>32</v>
      </c>
      <c r="D172" s="13">
        <v>1350</v>
      </c>
    </row>
    <row r="173" ht="28.5" customHeight="1" spans="1:4">
      <c r="A173" t="str">
        <f t="shared" si="2"/>
        <v>Thymalin/Thymulin10mg*10vials</v>
      </c>
      <c r="B173" s="15" t="s">
        <v>217</v>
      </c>
      <c r="C173" s="14" t="s">
        <v>12</v>
      </c>
      <c r="D173" s="13">
        <v>250</v>
      </c>
    </row>
    <row r="174" spans="1:4">
      <c r="A174" t="str">
        <f t="shared" si="2"/>
        <v>Thymosin alpha 15mg*10vials</v>
      </c>
      <c r="B174" s="15" t="s">
        <v>218</v>
      </c>
      <c r="C174" s="14" t="s">
        <v>10</v>
      </c>
      <c r="D174" s="13">
        <v>367.352941176471</v>
      </c>
    </row>
    <row r="175" spans="1:4">
      <c r="A175" t="str">
        <f t="shared" si="2"/>
        <v>Thymosin alpha 110mg*10vials</v>
      </c>
      <c r="B175" s="15" t="s">
        <v>218</v>
      </c>
      <c r="C175" s="14" t="s">
        <v>12</v>
      </c>
      <c r="D175" s="13">
        <v>608.235294117647</v>
      </c>
    </row>
    <row r="176" spans="1:4">
      <c r="A176" t="str">
        <f t="shared" si="2"/>
        <v>IGF-1 LR3100mcg*10vials</v>
      </c>
      <c r="B176" s="15" t="s">
        <v>219</v>
      </c>
      <c r="C176" s="14" t="s">
        <v>220</v>
      </c>
      <c r="D176" s="13">
        <v>145</v>
      </c>
    </row>
    <row r="177" spans="1:4">
      <c r="A177" t="str">
        <f t="shared" si="2"/>
        <v>IGF-1 LR31mg*10vials</v>
      </c>
      <c r="B177" s="15" t="s">
        <v>219</v>
      </c>
      <c r="C177" s="14" t="s">
        <v>93</v>
      </c>
      <c r="D177" s="13">
        <v>781.176470588236</v>
      </c>
    </row>
    <row r="178" spans="1:4">
      <c r="A178" t="str">
        <f t="shared" si="2"/>
        <v>Lipo-c10ml*10vials</v>
      </c>
      <c r="B178" s="15" t="s">
        <v>221</v>
      </c>
      <c r="C178" s="14" t="s">
        <v>133</v>
      </c>
      <c r="D178" s="13">
        <v>212.941176470588</v>
      </c>
    </row>
    <row r="179" ht="28.5" customHeight="1" spans="1:4">
      <c r="A179" t="str">
        <f t="shared" si="2"/>
        <v>MIC(lipo C with B12)10mg*10vials</v>
      </c>
      <c r="B179" s="15" t="s">
        <v>222</v>
      </c>
      <c r="C179" s="14" t="s">
        <v>12</v>
      </c>
      <c r="D179" s="13">
        <v>400</v>
      </c>
    </row>
    <row r="180" spans="1:4">
      <c r="A180" t="str">
        <f t="shared" si="2"/>
        <v>VIP5mg*10vials</v>
      </c>
      <c r="B180" s="15" t="s">
        <v>223</v>
      </c>
      <c r="C180" s="14" t="s">
        <v>10</v>
      </c>
      <c r="D180" s="13">
        <v>287.058823529412</v>
      </c>
    </row>
    <row r="181" spans="1:4">
      <c r="A181" t="str">
        <f t="shared" si="2"/>
        <v>VIP10mg*10vials</v>
      </c>
      <c r="B181" s="15" t="s">
        <v>223</v>
      </c>
      <c r="C181" s="14" t="s">
        <v>12</v>
      </c>
      <c r="D181" s="13">
        <v>497.058823529412</v>
      </c>
    </row>
    <row r="182" spans="1:4">
      <c r="A182" t="str">
        <f t="shared" si="2"/>
        <v>Vesugen10mg*10vials</v>
      </c>
      <c r="B182" s="15" t="s">
        <v>224</v>
      </c>
      <c r="C182" s="14" t="s">
        <v>12</v>
      </c>
      <c r="D182" s="13">
        <v>250</v>
      </c>
    </row>
    <row r="183" spans="1:4">
      <c r="A183" t="str">
        <f t="shared" si="2"/>
        <v>Mazdutide10mg*10vials</v>
      </c>
      <c r="B183" s="15" t="s">
        <v>225</v>
      </c>
      <c r="C183" s="14" t="s">
        <v>12</v>
      </c>
      <c r="D183" s="13">
        <v>880</v>
      </c>
    </row>
    <row r="184" ht="42.75" customHeight="1" spans="1:4">
      <c r="A184" t="str">
        <f t="shared" si="2"/>
        <v>GLOW(BPC 157 10mg+GHK-CU50mg+TB500 10mg)70mg*10vials</v>
      </c>
      <c r="B184" s="15" t="s">
        <v>226</v>
      </c>
      <c r="C184" s="14" t="s">
        <v>53</v>
      </c>
      <c r="D184" s="13">
        <v>737.94117647059</v>
      </c>
    </row>
    <row r="185" spans="1:4">
      <c r="A185" t="str">
        <f t="shared" si="2"/>
        <v>Matrixyl10mg*10vials</v>
      </c>
      <c r="B185" s="18" t="s">
        <v>227</v>
      </c>
      <c r="C185" s="12" t="s">
        <v>12</v>
      </c>
      <c r="D185" s="13">
        <v>138.823529411765</v>
      </c>
    </row>
    <row r="186" spans="1:4">
      <c r="A186" t="str">
        <f t="shared" si="2"/>
        <v>P21 (P021)5mg*10vials</v>
      </c>
      <c r="B186" s="18" t="s">
        <v>228</v>
      </c>
      <c r="C186" s="12" t="s">
        <v>10</v>
      </c>
      <c r="D186" s="13">
        <v>1176.47058823529</v>
      </c>
    </row>
    <row r="187" spans="1:4">
      <c r="A187" t="str">
        <f t="shared" si="2"/>
        <v>Pinealon5mg*10vials</v>
      </c>
      <c r="B187" s="19" t="s">
        <v>229</v>
      </c>
      <c r="C187" s="12" t="s">
        <v>10</v>
      </c>
      <c r="D187" s="13">
        <v>138.823529411765</v>
      </c>
    </row>
    <row r="188" spans="1:4">
      <c r="A188" t="str">
        <f t="shared" si="2"/>
        <v>Pinealon10mg*10vials</v>
      </c>
      <c r="B188" s="19" t="s">
        <v>229</v>
      </c>
      <c r="C188" s="12" t="s">
        <v>12</v>
      </c>
      <c r="D188" s="13">
        <v>225.294117647059</v>
      </c>
    </row>
    <row r="189" spans="1:4">
      <c r="A189" t="str">
        <f t="shared" si="2"/>
        <v>5-AMINO-1MQ5mg*10vials</v>
      </c>
      <c r="B189" s="19" t="s">
        <v>230</v>
      </c>
      <c r="C189" s="12" t="s">
        <v>10</v>
      </c>
      <c r="D189" s="13">
        <v>99</v>
      </c>
    </row>
    <row r="190" spans="1:4">
      <c r="A190" t="str">
        <f t="shared" si="2"/>
        <v>5-AMINO-1MQ10mg*10vials</v>
      </c>
      <c r="B190" s="19" t="s">
        <v>230</v>
      </c>
      <c r="C190" s="12" t="s">
        <v>12</v>
      </c>
      <c r="D190" s="13">
        <v>119</v>
      </c>
    </row>
    <row r="191" spans="1:4">
      <c r="A191" t="str">
        <f t="shared" si="2"/>
        <v>5-AMINO-1MQ50mg*10vials</v>
      </c>
      <c r="B191" s="19" t="s">
        <v>230</v>
      </c>
      <c r="C191" s="12" t="s">
        <v>36</v>
      </c>
      <c r="D191" s="13">
        <v>219</v>
      </c>
    </row>
    <row r="192" spans="1:4">
      <c r="A192" t="str">
        <f t="shared" si="2"/>
        <v>Survodutide10mg*10vials</v>
      </c>
      <c r="B192" s="18" t="s">
        <v>231</v>
      </c>
      <c r="C192" s="12" t="s">
        <v>12</v>
      </c>
      <c r="D192" s="13">
        <v>820</v>
      </c>
    </row>
    <row r="193" spans="1:4">
      <c r="A193" t="str">
        <f t="shared" si="2"/>
        <v>L-carnitine2mg*10vials</v>
      </c>
      <c r="B193" s="19" t="s">
        <v>232</v>
      </c>
      <c r="C193" s="12" t="s">
        <v>140</v>
      </c>
      <c r="D193" s="13">
        <v>140</v>
      </c>
    </row>
    <row r="194" spans="1:4">
      <c r="A194" t="str">
        <f t="shared" si="2"/>
        <v>L-carnitine600mg*10vials</v>
      </c>
      <c r="B194" s="19" t="s">
        <v>232</v>
      </c>
      <c r="C194" s="12" t="s">
        <v>175</v>
      </c>
      <c r="D194" s="13">
        <v>200</v>
      </c>
    </row>
    <row r="195" spans="1:4">
      <c r="A195" t="str">
        <f>B195&amp;C195</f>
        <v>L-carnitine1200mg*10vials</v>
      </c>
      <c r="B195" s="19" t="s">
        <v>232</v>
      </c>
      <c r="C195" s="12" t="s">
        <v>233</v>
      </c>
      <c r="D195" s="13">
        <v>220</v>
      </c>
    </row>
    <row r="196" ht="28.5" customHeight="1" spans="1:4">
      <c r="A196" t="str">
        <f>B196&amp;C196</f>
        <v>Retatrutide 20mg + Trizepatide 40mg (10ml)60mg*10vials</v>
      </c>
      <c r="B196" s="15" t="s">
        <v>234</v>
      </c>
      <c r="C196" s="12" t="s">
        <v>22</v>
      </c>
      <c r="D196" s="13">
        <v>880</v>
      </c>
    </row>
    <row r="197" spans="1:4">
      <c r="A197" t="str">
        <f>B197&amp;C197</f>
        <v>ACETIC ACID3ml *10vials</v>
      </c>
      <c r="B197" s="20" t="s">
        <v>235</v>
      </c>
      <c r="C197" s="14" t="s">
        <v>157</v>
      </c>
      <c r="D197" s="13">
        <v>45</v>
      </c>
    </row>
    <row r="198" spans="1:4">
      <c r="A198" t="str">
        <f>B198&amp;C198</f>
        <v>ACETIC ACID5ml*10vials</v>
      </c>
      <c r="B198" s="20" t="s">
        <v>235</v>
      </c>
      <c r="C198" s="14" t="s">
        <v>236</v>
      </c>
      <c r="D198" s="13">
        <v>62</v>
      </c>
    </row>
    <row r="199" spans="1:4">
      <c r="A199" t="str">
        <f>B199&amp;C199</f>
        <v>ACETIC ACID10ml*10vials</v>
      </c>
      <c r="B199" s="20" t="s">
        <v>235</v>
      </c>
      <c r="C199" s="14" t="s">
        <v>133</v>
      </c>
      <c r="D199" s="13">
        <v>70</v>
      </c>
    </row>
  </sheetData>
  <mergeCells count="2">
    <mergeCell ref="B42:B43"/>
    <mergeCell ref="C42:C43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1:H20"/>
  <sheetViews>
    <sheetView workbookViewId="0">
      <selection activeCell="E4" sqref="E4"/>
    </sheetView>
  </sheetViews>
  <sheetFormatPr defaultColWidth="9" defaultRowHeight="14.25" outlineLevelCol="7"/>
  <cols>
    <col min="1" max="6" width="9" style="1" customWidth="1"/>
    <col min="7" max="7" width="14.125" style="1" customWidth="1"/>
    <col min="8" max="16384" width="9" style="1" customWidth="1"/>
  </cols>
  <sheetData>
    <row r="11" spans="7:8">
      <c r="G11" s="1" t="s">
        <v>237</v>
      </c>
      <c r="H11" s="1">
        <v>45</v>
      </c>
    </row>
    <row r="12" spans="7:8">
      <c r="G12" s="1" t="s">
        <v>238</v>
      </c>
      <c r="H12" s="1">
        <v>70</v>
      </c>
    </row>
    <row r="13" spans="7:8">
      <c r="G13" s="1" t="s">
        <v>239</v>
      </c>
      <c r="H13" s="1">
        <v>95</v>
      </c>
    </row>
    <row r="14" spans="7:8">
      <c r="G14" s="1" t="s">
        <v>240</v>
      </c>
      <c r="H14" s="1">
        <v>120</v>
      </c>
    </row>
    <row r="15" spans="7:8">
      <c r="G15" s="1" t="s">
        <v>241</v>
      </c>
      <c r="H15" s="1">
        <v>145</v>
      </c>
    </row>
    <row r="16" spans="7:8">
      <c r="G16" s="1" t="s">
        <v>242</v>
      </c>
      <c r="H16" s="1">
        <v>170</v>
      </c>
    </row>
    <row r="17" spans="7:8">
      <c r="G17" s="1" t="s">
        <v>243</v>
      </c>
      <c r="H17" s="1">
        <v>195</v>
      </c>
    </row>
    <row r="18" spans="7:8">
      <c r="G18" s="1" t="s">
        <v>244</v>
      </c>
      <c r="H18" s="1">
        <v>220</v>
      </c>
    </row>
    <row r="19" spans="7:8">
      <c r="G19" s="1" t="s">
        <v>245</v>
      </c>
      <c r="H19" s="1">
        <v>245</v>
      </c>
    </row>
    <row r="20" spans="7:8">
      <c r="G20" s="2" t="s">
        <v>246</v>
      </c>
      <c r="H20" s="1">
        <v>270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采购成本</vt:lpstr>
      <vt:lpstr>基础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WPS_1772607021</cp:lastModifiedBy>
  <dcterms:created xsi:type="dcterms:W3CDTF">2025-12-29T23:44:00Z</dcterms:created>
  <dcterms:modified xsi:type="dcterms:W3CDTF">2026-05-22T23:34:59Z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2026-01-24T19:05:55Z</vt:filetime>
  </property>
  <property fmtid="{D5CDD505-2E9C-101B-9397-08002B2CF9AE}" pid="4" name="ICV">
    <vt:lpwstr>A35E113795444969A3A3D8CCABF375AF_13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